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<sst xmlns="http://schemas.openxmlformats.org/spreadsheetml/2006/main" count="22" uniqueCount="20">
  <si>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Quantity</t>
  </si>
  <si>
    <t xml:space="preserve">Discount</t>
  </si>
  <si>
    <t xml:space="preserve">Wholesale</t>
  </si>
  <si>
    <t xml:space="preserve">ITEM</t>
  </si>
  <si>
    <t xml:space="preserve">MSRP</t>
  </si>
  <si>
    <t xml:space="preserve">Quantity
ò</t>
  </si>
  <si>
    <t xml:space="preserve">Wholesale
markdown</t>
  </si>
  <si>
    <t xml:space="preserve">Wholesale
price</t>
  </si>
  <si>
    <t xml:space="preserve">Unit purchase options</t>
  </si>
  <si>
    <t xml:space="preserve">Color 
Logo</t>
  </si>
  <si>
    <t xml:space="preserve">Print Charge
Per Unit</t>
  </si>
  <si>
    <t xml:space="preserve">Print Charge
Per Box  12</t>
  </si>
  <si>
    <t xml:space="preserve">Setup</t>
  </si>
  <si>
    <t xml:space="preserve">Total 
Cost</t>
  </si>
  <si>
    <t xml:space="preserve">Colors</t>
  </si>
  <si>
    <t xml:space="preserve">Cost Per
Unit</t>
  </si>
  <si>
    <t xml:space="preserve">Cost Per
Order</t>
  </si>
  <si>
    <t xml:space="preserve">Formatting
Consult &amp;
Review</t>
  </si>
  <si>
    <t xml:space="preserve">Total </t>
  </si>
  <si>
    <t xml:space="preserve">Your 
company 
logo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</si>
</sst>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_-\$* #,##0.00_-;&quot;-$&quot;* #,##0.00_-;_-\$* \-??_-;_-@_-"/>
    <numFmt numFmtId="167" formatCode="\$#,##0.00;[RED]&quot;-$&quot;#,##0.00"/>
    <numFmt numFmtId="168" formatCode="\$#,##0;[RED]&quot;-$&quot;#,##0"/>
    <numFmt numFmtId="169" formatCode="_-\$* #,##0.00_-;&quot;-$&quot;* #,##0.00_-;_-\$* \-_-;_-@_-"/>
    <numFmt numFmtId="170" formatCode="#,###.00;#,###.00"/>
  </numFmts>
  <fonts count="8">
    <font>
      <sz val="12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C5E0B4"/>
      </patternFill>
    </fill>
    <fill>
      <patternFill patternType="solid">
        <fgColor rgb="FFAFABAB"/>
        <bgColor rgb="FF969696"/>
      </patternFill>
    </fill>
    <fill>
      <patternFill patternType="solid">
        <fgColor rgb="FFC5E0B4"/>
        <bgColor rgb="FFC6E0B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0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7" fillId="0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359375" defaultRowHeight="15.7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.83"/>
    <col collapsed="false" customWidth="true" hidden="false" outlineLevel="0" max="3" min="3" style="0" width="12.67"/>
    <col collapsed="false" customWidth="true" hidden="false" outlineLevel="0" max="4" min="4" style="0" width="12"/>
    <col collapsed="false" customWidth="true" hidden="false" outlineLevel="0" max="5" min="5" style="0" width="11.5"/>
    <col collapsed="false" customWidth="true" hidden="false" outlineLevel="0" max="6" min="6" style="0" width="12.17"/>
    <col collapsed="false" customWidth="true" hidden="false" outlineLevel="0" max="7" min="7" style="0" width="11.5"/>
  </cols>
  <sheetData>
    <row r="3" customFormat="false" ht="15.75" hidden="false" customHeight="false" outlineLevel="0" collapsed="false">
      <c r="B3" s="1" t="s">
        <v>0</v>
      </c>
      <c r="C3" s="2" t="s">
        <v>1</v>
      </c>
      <c r="D3" s="3" t="s">
        <v>2</v>
      </c>
      <c r="E3" s="3" t="n">
        <v>1</v>
      </c>
      <c r="F3" s="3" t="n">
        <v>0</v>
      </c>
    </row>
    <row r="4" customFormat="false" ht="15.75" hidden="false" customHeight="false" outlineLevel="0" collapsed="false">
      <c r="B4" s="4" t="n">
        <v>12</v>
      </c>
      <c r="C4" s="5" t="n">
        <v>0.5</v>
      </c>
      <c r="D4" s="6"/>
      <c r="E4" s="3" t="n">
        <v>12</v>
      </c>
      <c r="F4" s="7" t="n">
        <v>0.5</v>
      </c>
    </row>
    <row r="5" customFormat="false" ht="15.75" hidden="false" customHeight="false" outlineLevel="0" collapsed="false">
      <c r="B5" s="4" t="n">
        <v>84</v>
      </c>
      <c r="C5" s="5" t="n">
        <v>0.55</v>
      </c>
      <c r="D5" s="6"/>
      <c r="E5" s="3" t="n">
        <v>84</v>
      </c>
      <c r="F5" s="8" t="n">
        <v>0.55</v>
      </c>
    </row>
    <row r="6" customFormat="false" ht="15.75" hidden="false" customHeight="false" outlineLevel="0" collapsed="false">
      <c r="B6" s="9"/>
      <c r="C6" s="9"/>
      <c r="D6" s="9"/>
      <c r="E6" s="9"/>
      <c r="F6" s="9"/>
      <c r="J6" s="10"/>
    </row>
    <row r="7" customFormat="false" ht="33.75" hidden="false" customHeight="true" outlineLevel="0" collapsed="false">
      <c r="B7" s="11" t="s">
        <v>3</v>
      </c>
      <c r="C7" s="11" t="s">
        <v>4</v>
      </c>
      <c r="D7" s="12" t="s">
        <v>5</v>
      </c>
      <c r="E7" s="12" t="s">
        <v>6</v>
      </c>
      <c r="F7" s="12" t="s">
        <v>7</v>
      </c>
    </row>
    <row r="8" customFormat="false" ht="15.75" hidden="false" customHeight="false" outlineLevel="0" collapsed="false">
      <c r="B8" s="13"/>
      <c r="C8" s="14" t="n">
        <v>34.99</v>
      </c>
      <c r="D8" s="15" t="n">
        <v>96</v>
      </c>
      <c r="E8" s="16" t="n">
        <f aca="false">VLOOKUP(D8,$B$4:$C$5,2,TRUE())</f>
        <v>0.55</v>
      </c>
      <c r="F8" s="14" t="n">
        <v>15.75</v>
      </c>
    </row>
    <row r="9" customFormat="false" ht="15.75" hidden="false" customHeight="false" outlineLevel="0" collapsed="false">
      <c r="B9" s="17"/>
      <c r="C9" s="17"/>
      <c r="D9" s="17"/>
      <c r="E9" s="17"/>
      <c r="F9" s="17"/>
    </row>
    <row r="10" s="18" customFormat="true" ht="15.75" hidden="false" customHeight="false" outlineLevel="0" collapsed="false">
      <c r="G10" s="19" t="s">
        <v>8</v>
      </c>
      <c r="H10" s="19"/>
      <c r="I10" s="19"/>
      <c r="J10" s="19"/>
      <c r="K10" s="19"/>
      <c r="L10" s="19"/>
      <c r="M10" s="19"/>
      <c r="N10" s="19"/>
    </row>
    <row r="11" s="18" customFormat="true" ht="33.75" hidden="false" customHeight="true" outlineLevel="0" collapsed="false">
      <c r="B11" s="20" t="s">
        <v>9</v>
      </c>
      <c r="C11" s="20" t="s">
        <v>10</v>
      </c>
      <c r="D11" s="20" t="s">
        <v>11</v>
      </c>
      <c r="E11" s="21" t="s">
        <v>12</v>
      </c>
      <c r="F11" s="20" t="s">
        <v>13</v>
      </c>
      <c r="G11" s="21" t="n">
        <v>12</v>
      </c>
      <c r="H11" s="21" t="n">
        <v>24</v>
      </c>
      <c r="I11" s="21" t="n">
        <v>36</v>
      </c>
      <c r="J11" s="21" t="n">
        <v>48</v>
      </c>
      <c r="K11" s="21" t="n">
        <v>60</v>
      </c>
      <c r="L11" s="21" t="n">
        <v>72</v>
      </c>
      <c r="M11" s="21" t="n">
        <v>84</v>
      </c>
      <c r="N11" s="21" t="n">
        <v>96</v>
      </c>
    </row>
    <row r="12" s="18" customFormat="true" ht="15.75" hidden="false" customHeight="false" outlineLevel="0" collapsed="false">
      <c r="B12" s="18" t="n">
        <v>1</v>
      </c>
      <c r="C12" s="22" t="n">
        <v>0.5</v>
      </c>
      <c r="D12" s="22" t="n">
        <f aca="false">12*C12</f>
        <v>6</v>
      </c>
      <c r="E12" s="23" t="n">
        <v>50</v>
      </c>
      <c r="F12" s="22" t="n">
        <f aca="false">E12+D12</f>
        <v>56</v>
      </c>
      <c r="G12" s="22" t="n">
        <f aca="false">F12/$G$11</f>
        <v>4.66666666666667</v>
      </c>
      <c r="H12" s="22" t="n">
        <f aca="false">F12/$H$11</f>
        <v>2.33333333333333</v>
      </c>
      <c r="I12" s="22" t="n">
        <f aca="false">F12/$I$11</f>
        <v>1.55555555555556</v>
      </c>
      <c r="J12" s="22" t="n">
        <f aca="false">F12/$J$11</f>
        <v>1.16666666666667</v>
      </c>
      <c r="K12" s="22" t="n">
        <f aca="false">F12/$K$11</f>
        <v>0.933333333333333</v>
      </c>
      <c r="L12" s="22" t="n">
        <f aca="false">F12/$L$11</f>
        <v>0.777777777777778</v>
      </c>
      <c r="M12" s="22" t="n">
        <f aca="false">F12/$M$11</f>
        <v>0.666666666666667</v>
      </c>
      <c r="N12" s="22" t="n">
        <f aca="false">F12/$N$11</f>
        <v>0.583333333333333</v>
      </c>
    </row>
    <row r="13" s="18" customFormat="true" ht="15.75" hidden="false" customHeight="false" outlineLevel="0" collapsed="false">
      <c r="B13" s="18" t="n">
        <v>2</v>
      </c>
      <c r="C13" s="22" t="n">
        <v>0.65</v>
      </c>
      <c r="D13" s="22" t="n">
        <f aca="false">12*C13</f>
        <v>7.8</v>
      </c>
      <c r="E13" s="23" t="n">
        <v>75</v>
      </c>
      <c r="F13" s="22" t="n">
        <f aca="false">E13+D13</f>
        <v>82.8</v>
      </c>
      <c r="G13" s="22" t="n">
        <f aca="false">F13/$G$11</f>
        <v>6.9</v>
      </c>
      <c r="H13" s="22" t="n">
        <f aca="false">F13/$H$11</f>
        <v>3.45</v>
      </c>
      <c r="I13" s="22" t="n">
        <f aca="false">F13/$I$11</f>
        <v>2.3</v>
      </c>
      <c r="J13" s="22" t="n">
        <f aca="false">F13/$J$11</f>
        <v>1.725</v>
      </c>
      <c r="K13" s="22" t="n">
        <f aca="false">F13/$K$11</f>
        <v>1.38</v>
      </c>
      <c r="L13" s="22" t="n">
        <f aca="false">F13/$L$11</f>
        <v>1.15</v>
      </c>
      <c r="M13" s="22" t="n">
        <f aca="false">F13/$M$11</f>
        <v>0.985714285714286</v>
      </c>
      <c r="N13" s="22" t="n">
        <f aca="false">F13/$N$11</f>
        <v>0.8625</v>
      </c>
    </row>
    <row r="14" s="18" customFormat="true" ht="15.75" hidden="false" customHeight="false" outlineLevel="0" collapsed="false">
      <c r="B14" s="18" t="n">
        <v>3</v>
      </c>
      <c r="C14" s="22" t="n">
        <v>0.85</v>
      </c>
      <c r="D14" s="22" t="n">
        <f aca="false">12*C14</f>
        <v>10.2</v>
      </c>
      <c r="E14" s="18" t="n">
        <v>100</v>
      </c>
      <c r="F14" s="22" t="n">
        <f aca="false">E14+D14</f>
        <v>110.2</v>
      </c>
      <c r="G14" s="22" t="n">
        <f aca="false">F14/$G$11</f>
        <v>9.18333333333333</v>
      </c>
      <c r="H14" s="22" t="n">
        <f aca="false">F14/$H$11</f>
        <v>4.59166666666667</v>
      </c>
      <c r="I14" s="22" t="n">
        <f aca="false">F14/$I$11</f>
        <v>3.06111111111111</v>
      </c>
      <c r="J14" s="22" t="n">
        <f aca="false">F14/$J$11</f>
        <v>2.29583333333333</v>
      </c>
      <c r="K14" s="22" t="n">
        <f aca="false">F14/$K$11</f>
        <v>1.83666666666667</v>
      </c>
      <c r="L14" s="22" t="n">
        <f aca="false">F14/$L$11</f>
        <v>1.53055555555556</v>
      </c>
      <c r="M14" s="22" t="n">
        <f aca="false">F14/$M$11</f>
        <v>1.31190476190476</v>
      </c>
      <c r="N14" s="22" t="n">
        <f aca="false">F14/$N$11</f>
        <v>1.14791666666667</v>
      </c>
    </row>
    <row r="15" customFormat="false" ht="15.75" hidden="false" customHeight="false" outlineLevel="0" collapsed="false">
      <c r="B15" s="9"/>
      <c r="C15" s="9"/>
      <c r="D15" s="9"/>
      <c r="E15" s="9"/>
      <c r="F15" s="9"/>
    </row>
    <row r="16" customFormat="false" ht="51" hidden="false" customHeight="true" outlineLevel="0" collapsed="false">
      <c r="B16" s="11" t="s">
        <v>3</v>
      </c>
      <c r="C16" s="11" t="s">
        <v>14</v>
      </c>
      <c r="D16" s="12" t="s">
        <v>5</v>
      </c>
      <c r="E16" s="12" t="s">
        <v>15</v>
      </c>
      <c r="F16" s="12" t="s">
        <v>16</v>
      </c>
      <c r="G16" s="12" t="s">
        <v>17</v>
      </c>
      <c r="H16" s="11" t="s">
        <v>18</v>
      </c>
    </row>
    <row r="17" customFormat="false" ht="15.75" hidden="false" customHeight="true" outlineLevel="0" collapsed="false">
      <c r="B17" s="24" t="s">
        <v>19</v>
      </c>
      <c r="C17" s="25" t="n">
        <v>1</v>
      </c>
      <c r="D17" s="26" t="n">
        <v>48</v>
      </c>
      <c r="E17" s="27" t="n">
        <f aca="false">IF(D17="","",(VLOOKUP(C17,$B$12:$N$14,MATCH(D17,$B$11:$N$11),)))</f>
        <v>1.16666666666667</v>
      </c>
      <c r="F17" s="28" t="n">
        <f aca="false">IF(D17="","",(D17*E17))</f>
        <v>56</v>
      </c>
      <c r="G17" s="29" t="n">
        <v>75</v>
      </c>
      <c r="H17" s="30" t="n">
        <f aca="false">IF(F17="","",(F17+G17))</f>
        <v>131</v>
      </c>
    </row>
    <row r="18" customFormat="false" ht="15.75" hidden="false" customHeight="false" outlineLevel="0" collapsed="false">
      <c r="B18" s="24"/>
      <c r="C18" s="31" t="n">
        <v>2</v>
      </c>
      <c r="D18" s="26" t="n">
        <v>48</v>
      </c>
      <c r="E18" s="27" t="n">
        <f aca="false">IF(D18="","",(VLOOKUP(C18,$B$12:$N$14,MATCH(D18,$B$11:$N$11),)))</f>
        <v>1.725</v>
      </c>
      <c r="F18" s="28" t="n">
        <f aca="false">IF(D18="","",(D18*E18))</f>
        <v>82.8</v>
      </c>
      <c r="G18" s="29" t="n">
        <v>75</v>
      </c>
      <c r="H18" s="30" t="n">
        <f aca="false">IF(F18="","",(F18+G18))</f>
        <v>157.8</v>
      </c>
    </row>
    <row r="19" customFormat="false" ht="15.75" hidden="false" customHeight="false" outlineLevel="0" collapsed="false">
      <c r="B19" s="24"/>
      <c r="C19" s="31" t="n">
        <v>3</v>
      </c>
      <c r="D19" s="26" t="n">
        <v>48</v>
      </c>
      <c r="E19" s="27" t="n">
        <f aca="false">IF(D19="","",(VLOOKUP(C19,$B$12:$N$14,MATCH(D19,$B$11:$N$11),)))</f>
        <v>2.29583333333333</v>
      </c>
      <c r="F19" s="28" t="n">
        <f aca="false">IF(D19="","",(D19*E19))</f>
        <v>110.2</v>
      </c>
      <c r="G19" s="29" t="n">
        <v>75</v>
      </c>
      <c r="H19" s="30" t="n">
        <f aca="false">IF(F19="","",(F19+G19))</f>
        <v>185.2</v>
      </c>
    </row>
  </sheetData>
  <mergeCells count="2">
    <mergeCell ref="G10:N10"/>
    <mergeCell ref="B17:B19"/>
  </mergeCells>
  <dataValidations count="1">
    <dataValidation allowBlank="true" errorStyle="stop" operator="between" showDropDown="false" showErrorMessage="true" showInputMessage="true" sqref="D8 D17:D19" type="list">
      <formula1>"12,24,36,48,60,72,84,96,108,120,132,144,156,168,180,192,204,216,228,240,252,264,276,288,300,312,324,336,348,360,372,384,396,408,420,432,444,456,468,480,492"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2021-02-20T02:13:38Z</dcterms:created>
  <dc:creator>Peter Bohlender</dc:creator>
  <dc:description/>
  <dc:language>en-US</dc:language>
  <cp:lastModifiedBy>T T</cp:lastModifiedBy>
  <dcterms:modified xsi:type="dcterms:W3CDTF">2026-04-17T08:07:58Z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
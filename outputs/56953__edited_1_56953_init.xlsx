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definedNames>
    <definedName function="false" hidden="false" name="data" vbProcedure="false">OFFSET(#REF!,0,0,COUNT(#REF!))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<sst xmlns="http://schemas.openxmlformats.org/spreadsheetml/2006/main" count="25" uniqueCount="6">
  <si>
    <t xml:space="preserve">EG740F</t>
  </si>
  <si>
    <t xml:space="preserve">Power (kW)</t>
  </si>
  <si>
    <t xml:space="preserve">Engine LS</t>
  </si>
  <si>
    <t xml:space="preserve">Power take-off (rpm)</t>
  </si>
  <si>
    <t xml:space="preserve">(Nm)</t>
  </si>
  <si>
    <t xml:space="preserve">Engine HS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</si>
</sst>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宋体"/>
      <family val="0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79646"/>
        <bgColor rgb="FFFF8080"/>
      </patternFill>
    </fill>
    <fill>
      <patternFill patternType="solid">
        <fgColor rgb="FFC6D9F1"/>
        <bgColor rgb="FFC0C0C0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8" min="8" style="0" width="12.5"/>
    <col collapsed="false" customWidth="true" hidden="false" outlineLevel="0" max="9" min="9" style="0" width="10.63"/>
  </cols>
  <sheetData>
    <row r="1" customFormat="false" ht="15.75" hidden="false" customHeight="true" outlineLevel="0" collapsed="false">
      <c r="A1" s="1" t="s">
        <v>0</v>
      </c>
      <c r="B1" s="1"/>
      <c r="C1" s="1"/>
      <c r="D1" s="1"/>
    </row>
    <row r="2" customFormat="false" ht="13.5" hidden="false" customHeight="false" outlineLevel="0" collapsed="false">
      <c r="A2" s="2" t="s">
        <v>1</v>
      </c>
      <c r="B2" s="3" t="s">
        <v>2</v>
      </c>
      <c r="C2" s="3" t="s">
        <v>3</v>
      </c>
      <c r="D2" s="4" t="s">
        <v>4</v>
      </c>
      <c r="F2" s="5" t="n">
        <v>70</v>
      </c>
      <c r="H2" s="0" t="str">
        <f aca="false">T(A2)</f>
        <v>Power (kW)</v>
      </c>
      <c r="I2" s="6" t="s">
        <v>1</v>
      </c>
      <c r="J2" s="6" t="s">
        <v>2</v>
      </c>
      <c r="K2" s="6" t="s">
        <v>3</v>
      </c>
      <c r="L2" s="6" t="s">
        <v>4</v>
      </c>
    </row>
    <row r="3" customFormat="false" ht="13.5" hidden="false" customHeight="false" outlineLevel="0" collapsed="false">
      <c r="A3" s="7" t="n">
        <v>70</v>
      </c>
      <c r="B3" s="8" t="n">
        <v>900</v>
      </c>
      <c r="C3" s="8" t="n">
        <f aca="false">B3*1.65</f>
        <v>1485</v>
      </c>
      <c r="D3" s="9" t="n">
        <f aca="false">A3*9550/C3</f>
        <v>450.16835016835</v>
      </c>
      <c r="F3" s="0" t="str">
        <f aca="false">IF(E3=TRUE(),ROW(),"")</f>
        <v/>
      </c>
      <c r="H3" s="0" t="str">
        <f aca="false">T(A3)</f>
        <v/>
      </c>
      <c r="I3" s="6" t="n">
        <v>70</v>
      </c>
      <c r="J3" s="6" t="n">
        <v>900</v>
      </c>
      <c r="K3" s="6" t="n">
        <v>1485</v>
      </c>
      <c r="L3" s="6" t="n">
        <v>450.16835016835</v>
      </c>
    </row>
    <row r="4" customFormat="false" ht="13.5" hidden="false" customHeight="false" outlineLevel="0" collapsed="false">
      <c r="A4" s="7" t="n">
        <v>70</v>
      </c>
      <c r="B4" s="8" t="n">
        <f aca="false">B3+100</f>
        <v>1000</v>
      </c>
      <c r="C4" s="8" t="n">
        <f aca="false">B4*1.65</f>
        <v>1650</v>
      </c>
      <c r="D4" s="9" t="n">
        <f aca="false">A4*9550/C4</f>
        <v>405.151515151515</v>
      </c>
      <c r="F4" s="0" t="str">
        <f aca="false">IF(E4=TRUE(),ROW(),"")</f>
        <v/>
      </c>
      <c r="H4" s="0" t="str">
        <f aca="false">T(A4)</f>
        <v/>
      </c>
      <c r="I4" s="6" t="n">
        <v>70</v>
      </c>
      <c r="J4" s="6" t="n">
        <v>1000</v>
      </c>
      <c r="K4" s="6" t="n">
        <v>1650</v>
      </c>
      <c r="L4" s="6" t="n">
        <v>405.151515151515</v>
      </c>
    </row>
    <row r="5" customFormat="false" ht="13.5" hidden="false" customHeight="false" outlineLevel="0" collapsed="false">
      <c r="A5" s="7" t="n">
        <v>70</v>
      </c>
      <c r="B5" s="8" t="n">
        <f aca="false">B4+100</f>
        <v>1100</v>
      </c>
      <c r="C5" s="8" t="n">
        <f aca="false">B5*1.65</f>
        <v>1815</v>
      </c>
      <c r="D5" s="9" t="n">
        <f aca="false">A5*9550/C5</f>
        <v>368.31955922865</v>
      </c>
      <c r="H5" s="0" t="str">
        <f aca="false">T(A5)</f>
        <v/>
      </c>
      <c r="I5" s="6" t="n">
        <v>70</v>
      </c>
      <c r="J5" s="6" t="n">
        <v>1100</v>
      </c>
      <c r="K5" s="6" t="n">
        <v>1815</v>
      </c>
      <c r="L5" s="6" t="n">
        <v>368.31955922865</v>
      </c>
    </row>
    <row r="6" customFormat="false" ht="13.5" hidden="false" customHeight="false" outlineLevel="0" collapsed="false">
      <c r="A6" s="7" t="n">
        <v>70</v>
      </c>
      <c r="B6" s="8" t="n">
        <f aca="false">B5+100</f>
        <v>1200</v>
      </c>
      <c r="C6" s="8" t="n">
        <f aca="false">B6*1.65</f>
        <v>1980</v>
      </c>
      <c r="D6" s="9" t="n">
        <f aca="false">A6*9550/C6</f>
        <v>337.626262626263</v>
      </c>
      <c r="H6" s="0" t="str">
        <f aca="false">T(A6)</f>
        <v/>
      </c>
      <c r="I6" s="6" t="n">
        <v>70</v>
      </c>
      <c r="J6" s="6" t="n">
        <v>1200</v>
      </c>
      <c r="K6" s="6" t="n">
        <v>1980</v>
      </c>
      <c r="L6" s="6" t="n">
        <v>337.626262626263</v>
      </c>
    </row>
    <row r="7" customFormat="false" ht="13.5" hidden="false" customHeight="false" outlineLevel="0" collapsed="false">
      <c r="A7" s="7" t="s">
        <v>1</v>
      </c>
      <c r="B7" s="8" t="s">
        <v>5</v>
      </c>
      <c r="C7" s="8" t="s">
        <v>3</v>
      </c>
      <c r="D7" s="9" t="s">
        <v>4</v>
      </c>
      <c r="I7" s="6" t="s">
        <v>1</v>
      </c>
      <c r="J7" s="6" t="s">
        <v>5</v>
      </c>
      <c r="K7" s="6" t="s">
        <v>3</v>
      </c>
      <c r="L7" s="6" t="s">
        <v>4</v>
      </c>
    </row>
    <row r="8" customFormat="false" ht="13.5" hidden="false" customHeight="false" outlineLevel="0" collapsed="false">
      <c r="A8" s="7" t="n">
        <v>70</v>
      </c>
      <c r="B8" s="8" t="n">
        <v>700</v>
      </c>
      <c r="C8" s="8" t="n">
        <f aca="false">B8*2.04</f>
        <v>1428</v>
      </c>
      <c r="D8" s="9" t="n">
        <f aca="false">A8*9550/C8</f>
        <v>468.137254901961</v>
      </c>
      <c r="I8" s="6" t="n">
        <v>70</v>
      </c>
      <c r="J8" s="6" t="n">
        <v>700</v>
      </c>
      <c r="K8" s="6" t="n">
        <v>1428</v>
      </c>
      <c r="L8" s="6" t="n">
        <v>468.137254901961</v>
      </c>
    </row>
    <row r="9" customFormat="false" ht="14.25" hidden="false" customHeight="true" outlineLevel="0" collapsed="false">
      <c r="A9" s="7" t="n">
        <v>70</v>
      </c>
      <c r="B9" s="8" t="n">
        <f aca="false">B8+100</f>
        <v>800</v>
      </c>
      <c r="C9" s="8" t="n">
        <f aca="false">B9*2.04</f>
        <v>1632</v>
      </c>
      <c r="D9" s="9" t="n">
        <f aca="false">A9*9550/C9</f>
        <v>409.620098039216</v>
      </c>
      <c r="I9" s="6" t="n">
        <v>70</v>
      </c>
      <c r="J9" s="6" t="n">
        <v>800</v>
      </c>
      <c r="K9" s="6" t="n">
        <v>1632</v>
      </c>
      <c r="L9" s="6" t="n">
        <v>409.620098039216</v>
      </c>
    </row>
    <row r="10" customFormat="false" ht="13.5" hidden="false" customHeight="false" outlineLevel="0" collapsed="false">
      <c r="A10" s="10" t="s">
        <v>1</v>
      </c>
      <c r="B10" s="11" t="s">
        <v>2</v>
      </c>
      <c r="C10" s="11" t="s">
        <v>3</v>
      </c>
      <c r="D10" s="12" t="s">
        <v>4</v>
      </c>
      <c r="I10" s="6"/>
      <c r="J10" s="6"/>
      <c r="K10" s="6"/>
      <c r="L10" s="6"/>
    </row>
    <row r="11" customFormat="false" ht="13.5" hidden="false" customHeight="false" outlineLevel="0" collapsed="false">
      <c r="A11" s="13" t="n">
        <v>100</v>
      </c>
      <c r="B11" s="14" t="n">
        <v>1200</v>
      </c>
      <c r="C11" s="14" t="n">
        <f aca="false">B11*1.65</f>
        <v>1980</v>
      </c>
      <c r="D11" s="15" t="n">
        <f aca="false">A11*9550/C11</f>
        <v>482.323232323232</v>
      </c>
      <c r="I11" s="6"/>
      <c r="J11" s="6"/>
      <c r="K11" s="6"/>
      <c r="L11" s="6"/>
    </row>
    <row r="12" customFormat="false" ht="13.5" hidden="false" customHeight="false" outlineLevel="0" collapsed="false">
      <c r="A12" s="13" t="n">
        <v>100</v>
      </c>
      <c r="B12" s="14" t="n">
        <f aca="false">B11+100</f>
        <v>1300</v>
      </c>
      <c r="C12" s="14" t="n">
        <f aca="false">B12*1.65</f>
        <v>2145</v>
      </c>
      <c r="D12" s="15" t="n">
        <f aca="false">A12*9550/C12</f>
        <v>445.221445221445</v>
      </c>
      <c r="I12" s="6"/>
      <c r="J12" s="6"/>
      <c r="K12" s="6"/>
      <c r="L12" s="6"/>
    </row>
    <row r="13" customFormat="false" ht="13.5" hidden="false" customHeight="false" outlineLevel="0" collapsed="false">
      <c r="A13" s="13" t="n">
        <v>100</v>
      </c>
      <c r="B13" s="14" t="n">
        <f aca="false">B12+100</f>
        <v>1400</v>
      </c>
      <c r="C13" s="14" t="n">
        <f aca="false">B13*1.65</f>
        <v>2310</v>
      </c>
      <c r="D13" s="15" t="n">
        <f aca="false">A13*9550/C13</f>
        <v>413.419913419913</v>
      </c>
      <c r="I13" s="6"/>
      <c r="J13" s="6"/>
      <c r="K13" s="6"/>
      <c r="L13" s="6"/>
    </row>
    <row r="14" customFormat="false" ht="13.5" hidden="false" customHeight="false" outlineLevel="0" collapsed="false">
      <c r="A14" s="13" t="s">
        <v>1</v>
      </c>
      <c r="B14" s="14" t="s">
        <v>5</v>
      </c>
      <c r="C14" s="14" t="s">
        <v>3</v>
      </c>
      <c r="D14" s="15" t="s">
        <v>4</v>
      </c>
    </row>
    <row r="15" customFormat="false" ht="13.5" hidden="false" customHeight="false" outlineLevel="0" collapsed="false">
      <c r="A15" s="16" t="n">
        <v>100</v>
      </c>
      <c r="B15" s="17" t="n">
        <v>1300</v>
      </c>
      <c r="C15" s="17" t="n">
        <f aca="false">B15*1.58</f>
        <v>2054</v>
      </c>
      <c r="D15" s="18" t="n">
        <f aca="false">A15*9550/C15</f>
        <v>464.946445959104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2021-02-15T04:10:00Z</dcterms:created>
  <dc:creator>مهدی وطن پرست</dc:creator>
  <dc:description/>
  <dc:language>en-US</dc:language>
  <cp:lastModifiedBy>86180</cp:lastModifiedBy>
  <dcterms:modified xsi:type="dcterms:W3CDTF">2026-04-17T10:11:46Z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0E58D4AB068B40079CC2AA084E37069A_13</vt:lpwstr>
  </property>
  <property fmtid="{D5CDD505-2E9C-101B-9397-08002B2CF9AE}" pid="3" name="KSOProductBuildVer">
    <vt:lpwstr>2052-12.1.0.16729</vt:lpwstr>
  </property>
</Properties>
</file>
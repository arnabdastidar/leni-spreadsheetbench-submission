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</sheets>
  <definedNames>
    <definedName function="false" hidden="true" localSheetId="0" name="_xlnm._FilterDatabase" vbProcedure="false">Data!$C$13:$AV$42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<sst xmlns="http://schemas.openxmlformats.org/spreadsheetml/2006/main" count="146" uniqueCount="75">
  <si>
    <t xml:space="preserve">Annually</t>
  </si>
  <si>
    <t xml:space="preserve">Old Rates</t>
  </si>
  <si>
    <t xml:space="preserve">New Rates</t>
  </si>
  <si>
    <t xml:space="preserve">Semi-annually</t>
  </si>
  <si>
    <t xml:space="preserve">Quaterly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</si>
  <si>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</si>
  <si>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</si>
  <si>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</si>
  <si>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</si>
  <si>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</si>
  <si>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</si>
  <si>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</si>
  <si>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</si>
  <si>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</si>
  <si>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</si>
  <si>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</si>
  <si>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</si>
  <si>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FY23</t>
  </si>
  <si>
    <t xml:space="preserve">Frequency</t>
  </si>
  <si>
    <t xml:space="preserve">Frequency of increase</t>
  </si>
  <si>
    <t xml:space="preserve">Customer Approved</t>
  </si>
  <si>
    <t xml:space="preserve">Effective Date
(MM/DD/YY)</t>
  </si>
  <si>
    <t xml:space="preserve">1st price increase %</t>
  </si>
  <si>
    <t xml:space="preserve">2nd price increase %</t>
  </si>
  <si>
    <t xml:space="preserve">3rd price increase %</t>
  </si>
  <si>
    <t xml:space="preserve">4th price increase %</t>
  </si>
  <si>
    <t xml:space="preserve">P01 Old rate</t>
  </si>
  <si>
    <t xml:space="preserve">P02 Old rate</t>
  </si>
  <si>
    <t xml:space="preserve">P03 Old rate</t>
  </si>
  <si>
    <t xml:space="preserve">P04 Old rate</t>
  </si>
  <si>
    <t xml:space="preserve">P05 Old rate</t>
  </si>
  <si>
    <t xml:space="preserve">P06 Old Rate</t>
  </si>
  <si>
    <t xml:space="preserve">P07 Old rate</t>
  </si>
  <si>
    <t xml:space="preserve">P08 Old Rate</t>
  </si>
  <si>
    <t xml:space="preserve">P09 Old rate</t>
  </si>
  <si>
    <t xml:space="preserve">P10 Old Rate</t>
  </si>
  <si>
    <t xml:space="preserve">P11 Old rate</t>
  </si>
  <si>
    <t xml:space="preserve">P12 Old Rate</t>
  </si>
  <si>
    <t xml:space="preserve">Total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</si>
  <si>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</si>
  <si>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</si>
  <si>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</si>
  <si>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</si>
  <si>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</si>
  <si>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</si>
  <si>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</si>
  <si>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</si>
  <si>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</si>
  <si>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</si>
  <si>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</si>
  <si>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</si>
  <si>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12 month Impact</t>
  </si>
  <si>
    <t xml:space="preserve">Latest Comment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</si>
  <si>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</si>
  <si>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</si>
  <si>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</si>
  <si>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</si>
  <si>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</si>
  <si>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</si>
  <si>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</si>
  <si>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</si>
  <si>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</si>
  <si>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Approved</t>
  </si>
  <si>
    <t xml:space="preserve">- GFS &amp; Sysco have approved</t>
  </si>
  <si>
    <t xml:space="preserve">- approved (Quebec - Sept 1; Ontario -Sept 5)</t>
  </si>
  <si>
    <t xml:space="preserve">- received customer approval April 15th</t>
  </si>
  <si>
    <t xml:space="preserve">- new price based on RFP bid</t>
  </si>
  <si>
    <t xml:space="preserve">- submitted new cost change form (Apr 26)</t>
  </si>
  <si>
    <t xml:space="preserve">3PL distribution change needed (LTL to 3PL) - Sept - Dec program</t>
  </si>
  <si>
    <t xml:space="preserve">Completed (will re-validate VA's and BOM's)</t>
  </si>
  <si>
    <t xml:space="preserve">Initial discussion - in Rd 2 of RFP - Awaiting feedback on RFP </t>
  </si>
  <si>
    <t xml:space="preserve">Re-discussing on 5/6- may move to pricing model with them buying select specialized items - Will potentially lower toll</t>
  </si>
  <si>
    <t xml:space="preserve">Approved by Nestle (21.4% Choc Lovers; 27.2% Choc Chip Bar)</t>
  </si>
  <si>
    <t xml:space="preserve">Completed</t>
  </si>
  <si>
    <t xml:space="preserve">Resubmitted additional pricing (9.7%+10%) -  Response on 5/3 was price increase rejected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</si>
</sst>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/d/yyyy"/>
    <numFmt numFmtId="166" formatCode="0%"/>
    <numFmt numFmtId="167" formatCode="0.0%"/>
    <numFmt numFmtId="168" formatCode="_(* #,##0.00_);_(* \(#,##0.00\);_(* \-??_);_(@_)"/>
    <numFmt numFmtId="169" formatCode="mmm\-yy"/>
    <numFmt numFmtId="170" formatCode="[$-409]dd\-mmm\-yy;@"/>
    <numFmt numFmtId="171" formatCode="0.0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BDD7EE"/>
        <bgColor rgb="FFD9D9D9"/>
      </patternFill>
    </fill>
    <fill>
      <patternFill patternType="solid">
        <fgColor rgb="FF002060"/>
        <bgColor rgb="FF000080"/>
      </patternFill>
    </fill>
    <fill>
      <patternFill patternType="solid">
        <fgColor rgb="FFD9D9D9"/>
        <bgColor rgb="FFBDD7EE"/>
      </patternFill>
    </fill>
    <fill>
      <patternFill patternType="solid">
        <fgColor rgb="FFC5E0B4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2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2" borderId="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D9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5E0B4"/>
        </patternFill>
      </fill>
    </dxf>
    <dxf>
      <fill>
        <patternFill patternType="solid">
          <fgColor rgb="FFBDD7EE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5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true"/>
  </sheetPr>
  <dimension ref="C1:BX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9453125" defaultRowHeight="12.75" zeroHeight="false" outlineLevelRow="0" outlineLevelCol="1"/>
  <cols>
    <col collapsed="false" customWidth="true" hidden="false" outlineLevel="0" max="2" min="1" style="1" width="1.33"/>
    <col collapsed="false" customWidth="true" hidden="true" outlineLevel="0" max="3" min="3" style="1" width="21.22"/>
    <col collapsed="false" customWidth="true" hidden="true" outlineLevel="0" max="4" min="4" style="1" width="16.11"/>
    <col collapsed="false" customWidth="true" hidden="true" outlineLevel="0" max="5" min="5" style="1" width="31"/>
    <col collapsed="false" customWidth="true" hidden="true" outlineLevel="0" max="8" min="6" style="1" width="32.55"/>
    <col collapsed="false" customWidth="true" hidden="false" outlineLevel="0" max="9" min="9" style="1" width="17.89"/>
    <col collapsed="false" customWidth="true" hidden="false" outlineLevel="1" max="10" min="10" style="1" width="15.78"/>
    <col collapsed="false" customWidth="true" hidden="false" outlineLevel="0" max="11" min="11" style="2" width="25.11"/>
    <col collapsed="false" customWidth="true" hidden="false" outlineLevel="0" max="12" min="12" style="3" width="18.55"/>
    <col collapsed="false" customWidth="true" hidden="false" outlineLevel="0" max="16" min="13" style="4" width="13.55"/>
    <col collapsed="false" customWidth="true" hidden="false" outlineLevel="1" max="17" min="17" style="5" width="20.33"/>
    <col collapsed="false" customWidth="true" hidden="false" outlineLevel="1" max="18" min="18" style="5" width="20.67"/>
    <col collapsed="false" customWidth="true" hidden="false" outlineLevel="1" max="19" min="19" style="5" width="20"/>
    <col collapsed="false" customWidth="true" hidden="false" outlineLevel="1" max="20" min="20" style="5" width="20.67"/>
    <col collapsed="false" customWidth="true" hidden="false" outlineLevel="1" max="21" min="21" style="5" width="20"/>
    <col collapsed="false" customWidth="true" hidden="false" outlineLevel="1" max="22" min="22" style="5" width="20.67"/>
    <col collapsed="false" customWidth="true" hidden="false" outlineLevel="1" max="23" min="23" style="5" width="18.44"/>
    <col collapsed="false" customWidth="true" hidden="false" outlineLevel="1" max="24" min="24" style="1" width="17.33"/>
    <col collapsed="false" customWidth="true" hidden="false" outlineLevel="1" max="28" min="25" style="1" width="20.33"/>
    <col collapsed="false" customWidth="true" hidden="false" outlineLevel="1" max="29" min="29" style="1" width="22"/>
    <col collapsed="false" customWidth="true" hidden="false" outlineLevel="0" max="30" min="30" style="1" width="19.55"/>
    <col collapsed="false" customWidth="true" hidden="false" outlineLevel="0" max="32" min="31" style="1" width="20.33"/>
    <col collapsed="false" customWidth="true" hidden="false" outlineLevel="0" max="33" min="33" style="1" width="20.67"/>
    <col collapsed="false" customWidth="true" hidden="false" outlineLevel="0" max="35" min="34" style="1" width="20.33"/>
    <col collapsed="false" customWidth="true" hidden="false" outlineLevel="0" max="36" min="36" style="1" width="20"/>
    <col collapsed="false" customWidth="true" hidden="false" outlineLevel="0" max="41" min="37" style="5" width="20.33"/>
    <col collapsed="false" customWidth="true" hidden="false" outlineLevel="0" max="42" min="42" style="1" width="22"/>
    <col collapsed="false" customWidth="true" hidden="false" outlineLevel="0" max="43" min="43" style="1" width="19.67"/>
    <col collapsed="false" customWidth="false" hidden="false" outlineLevel="0" max="44" min="44" style="1" width="8.89"/>
    <col collapsed="false" customWidth="true" hidden="false" outlineLevel="0" max="45" min="45" style="1" width="100.56"/>
    <col collapsed="false" customWidth="true" hidden="false" outlineLevel="0" max="46" min="46" style="1" width="15.44"/>
    <col collapsed="false" customWidth="false" hidden="false" outlineLevel="0" max="50" min="47" style="1" width="8.89"/>
    <col collapsed="false" customWidth="true" hidden="false" outlineLevel="0" max="51" min="51" style="1" width="13.33"/>
    <col collapsed="false" customWidth="false" hidden="false" outlineLevel="0" max="1024" min="52" style="1" width="8.89"/>
  </cols>
  <sheetData>
    <row r="1" customFormat="false" ht="5.25" hidden="false" customHeight="true" outlineLevel="0" collapsed="false"/>
    <row r="2" customFormat="false" ht="5.25" hidden="false" customHeight="true" outlineLevel="0" collapsed="false"/>
    <row r="6" customFormat="false" ht="12.75" hidden="false" customHeight="false" outlineLevel="0" collapsed="false">
      <c r="I6" s="1" t="s">
        <v>0</v>
      </c>
      <c r="J6" s="1" t="n">
        <v>1</v>
      </c>
      <c r="Q6" s="6" t="s">
        <v>1</v>
      </c>
      <c r="R6" s="7"/>
      <c r="S6" s="7"/>
      <c r="T6" s="7"/>
      <c r="U6" s="7"/>
      <c r="V6" s="7"/>
      <c r="W6" s="7"/>
      <c r="X6" s="8"/>
      <c r="Y6" s="8"/>
      <c r="Z6" s="8"/>
      <c r="AA6" s="8"/>
      <c r="AB6" s="8"/>
      <c r="AD6" s="9" t="s">
        <v>2</v>
      </c>
      <c r="AE6" s="9"/>
      <c r="AF6" s="9"/>
      <c r="AG6" s="9"/>
      <c r="AH6" s="9"/>
      <c r="AI6" s="9"/>
      <c r="AJ6" s="9"/>
      <c r="AK6" s="10"/>
      <c r="AL6" s="10"/>
      <c r="AM6" s="10"/>
      <c r="AN6" s="10"/>
      <c r="AO6" s="10"/>
      <c r="AP6" s="9"/>
    </row>
    <row r="7" customFormat="false" ht="12.75" hidden="false" customHeight="false" outlineLevel="0" collapsed="false">
      <c r="I7" s="1" t="s">
        <v>3</v>
      </c>
      <c r="J7" s="1" t="n">
        <v>6</v>
      </c>
    </row>
    <row r="8" customFormat="false" ht="12.75" hidden="false" customHeight="false" outlineLevel="0" collapsed="false">
      <c r="I8" s="1" t="s">
        <v>4</v>
      </c>
      <c r="J8" s="1" t="n">
        <v>3</v>
      </c>
      <c r="AD8" s="1" t="n">
        <v>1</v>
      </c>
      <c r="AE8" s="1" t="n">
        <f aca="false">AD8+1</f>
        <v>2</v>
      </c>
      <c r="AF8" s="1" t="n">
        <f aca="false">AE8+1</f>
        <v>3</v>
      </c>
      <c r="AG8" s="1" t="n">
        <f aca="false">AF8+1</f>
        <v>4</v>
      </c>
      <c r="AH8" s="1" t="n">
        <f aca="false">AG8+1</f>
        <v>5</v>
      </c>
      <c r="AI8" s="1" t="n">
        <f aca="false">AH8+1</f>
        <v>6</v>
      </c>
      <c r="AJ8" s="1" t="n">
        <f aca="false">AI8+1</f>
        <v>7</v>
      </c>
      <c r="AK8" s="1" t="n">
        <f aca="false">AJ8+1</f>
        <v>8</v>
      </c>
      <c r="AL8" s="1" t="n">
        <f aca="false">AK8+1</f>
        <v>9</v>
      </c>
      <c r="AM8" s="1" t="n">
        <f aca="false">AL8+1</f>
        <v>10</v>
      </c>
      <c r="AN8" s="1" t="n">
        <f aca="false">AM8+1</f>
        <v>11</v>
      </c>
      <c r="AO8" s="1" t="n">
        <f aca="false">AN8+1</f>
        <v>12</v>
      </c>
      <c r="BA8" s="1" t="n">
        <v>0</v>
      </c>
    </row>
    <row r="9" customFormat="false" ht="12.75" hidden="false" customHeight="false" outlineLevel="0" collapsed="false">
      <c r="Q9" s="11" t="n">
        <v>44378</v>
      </c>
      <c r="R9" s="11" t="n">
        <f aca="false">DATE(YEAR(Q9),MONTH(Q9)+1,1)</f>
        <v>44409</v>
      </c>
      <c r="S9" s="11" t="n">
        <f aca="false">DATE(YEAR(R9),MONTH(R9)+1,1)</f>
        <v>44440</v>
      </c>
      <c r="T9" s="11" t="n">
        <f aca="false">DATE(YEAR(S9),MONTH(S9)+1,1)</f>
        <v>44470</v>
      </c>
      <c r="U9" s="11" t="n">
        <f aca="false">DATE(YEAR(T9),MONTH(T9)+1,1)</f>
        <v>44501</v>
      </c>
      <c r="V9" s="11" t="n">
        <f aca="false">DATE(YEAR(U9),MONTH(U9)+1,1)</f>
        <v>44531</v>
      </c>
      <c r="W9" s="11" t="n">
        <f aca="false">DATE(YEAR(V9),MONTH(V9)+1,1)</f>
        <v>44562</v>
      </c>
      <c r="X9" s="11" t="n">
        <f aca="false">DATE(YEAR(W9),MONTH(W9)+1,1)</f>
        <v>44593</v>
      </c>
      <c r="Y9" s="11" t="n">
        <f aca="false">DATE(YEAR(X9),MONTH(X9)+1,1)</f>
        <v>44621</v>
      </c>
      <c r="Z9" s="11" t="n">
        <f aca="false">DATE(YEAR(Y9),MONTH(Y9)+1,1)</f>
        <v>44652</v>
      </c>
      <c r="AA9" s="11" t="n">
        <f aca="false">DATE(YEAR(Z9),MONTH(Z9)+1,1)</f>
        <v>44682</v>
      </c>
      <c r="AB9" s="11" t="n">
        <f aca="false">DATE(YEAR(AA9),MONTH(AA9)+1,1)</f>
        <v>44713</v>
      </c>
      <c r="AD9" s="11" t="n">
        <f aca="false">DATE(YEAR(AB9),MONTH(AB9)+1,1)</f>
        <v>44743</v>
      </c>
      <c r="AE9" s="11" t="n">
        <f aca="false">DATE(YEAR(AD9),MONTH(AD9)+1,1)</f>
        <v>44774</v>
      </c>
      <c r="AF9" s="11" t="n">
        <f aca="false">DATE(YEAR(AE9),MONTH(AE9)+1,1)</f>
        <v>44805</v>
      </c>
      <c r="AG9" s="11" t="n">
        <f aca="false">DATE(YEAR(AF9),MONTH(AF9)+1,1)</f>
        <v>44835</v>
      </c>
      <c r="AH9" s="11" t="n">
        <f aca="false">DATE(YEAR(AG9),MONTH(AG9)+1,1)</f>
        <v>44866</v>
      </c>
      <c r="AI9" s="11" t="n">
        <f aca="false">DATE(YEAR(AH9),MONTH(AH9)+1,1)</f>
        <v>44896</v>
      </c>
      <c r="AJ9" s="11" t="n">
        <f aca="false">DATE(YEAR(AI9),MONTH(AI9)+1,1)</f>
        <v>44927</v>
      </c>
      <c r="AK9" s="11" t="n">
        <f aca="false">DATE(YEAR(AJ9),MONTH(AJ9)+1,1)</f>
        <v>44958</v>
      </c>
      <c r="AL9" s="11" t="n">
        <f aca="false">DATE(YEAR(AK9),MONTH(AK9)+1,1)</f>
        <v>44986</v>
      </c>
      <c r="AM9" s="11" t="n">
        <f aca="false">DATE(YEAR(AL9),MONTH(AL9)+1,1)</f>
        <v>45017</v>
      </c>
      <c r="AN9" s="11" t="n">
        <f aca="false">DATE(YEAR(AM9),MONTH(AM9)+1,1)</f>
        <v>45047</v>
      </c>
      <c r="AO9" s="11" t="n">
        <f aca="false">DATE(YEAR(AN9),MONTH(AN9)+1,1)</f>
        <v>45078</v>
      </c>
      <c r="BA9" s="3" t="n">
        <f aca="false">AD9</f>
        <v>44743</v>
      </c>
      <c r="BB9" s="3" t="n">
        <f aca="false">AE9</f>
        <v>44774</v>
      </c>
      <c r="BC9" s="3" t="n">
        <f aca="false">AF9</f>
        <v>44805</v>
      </c>
      <c r="BD9" s="3" t="n">
        <f aca="false">AG9</f>
        <v>44835</v>
      </c>
      <c r="BE9" s="3" t="n">
        <f aca="false">AH9</f>
        <v>44866</v>
      </c>
      <c r="BF9" s="3" t="n">
        <f aca="false">AI9</f>
        <v>44896</v>
      </c>
      <c r="BG9" s="3" t="n">
        <f aca="false">AJ9</f>
        <v>44927</v>
      </c>
      <c r="BH9" s="3" t="n">
        <f aca="false">AK9</f>
        <v>44958</v>
      </c>
      <c r="BI9" s="3" t="n">
        <f aca="false">AL9</f>
        <v>44986</v>
      </c>
      <c r="BJ9" s="3" t="n">
        <f aca="false">AM9</f>
        <v>45017</v>
      </c>
      <c r="BK9" s="3" t="n">
        <f aca="false">AN9</f>
        <v>45047</v>
      </c>
      <c r="BL9" s="3" t="n">
        <f aca="false">AO9</f>
        <v>45078</v>
      </c>
      <c r="BM9" s="3" t="n">
        <f aca="false">AP9</f>
        <v>0</v>
      </c>
      <c r="BN9" s="3" t="n">
        <f aca="false">AQ9</f>
        <v>0</v>
      </c>
      <c r="BO9" s="3" t="n">
        <f aca="false">AR9</f>
        <v>0</v>
      </c>
      <c r="BP9" s="3" t="n">
        <f aca="false">AS9</f>
        <v>0</v>
      </c>
      <c r="BQ9" s="3" t="n">
        <f aca="false">AT9</f>
        <v>0</v>
      </c>
      <c r="BR9" s="3" t="n">
        <f aca="false">AU9</f>
        <v>0</v>
      </c>
      <c r="BS9" s="3" t="n">
        <f aca="false">AV9</f>
        <v>0</v>
      </c>
      <c r="BT9" s="3" t="n">
        <f aca="false">AW9</f>
        <v>0</v>
      </c>
      <c r="BU9" s="3" t="n">
        <f aca="false">AX9</f>
        <v>0</v>
      </c>
      <c r="BV9" s="3" t="n">
        <f aca="false">AY9</f>
        <v>0</v>
      </c>
      <c r="BW9" s="3" t="n">
        <f aca="false">AZ9</f>
        <v>0</v>
      </c>
      <c r="BX9" s="3" t="n">
        <f aca="false">BA9</f>
        <v>44743</v>
      </c>
    </row>
    <row r="11" customFormat="false" ht="12.75" hidden="false" customHeight="false" outlineLevel="0" collapsed="false">
      <c r="Q11" s="12" t="s">
        <v>5</v>
      </c>
      <c r="R11" s="12" t="s">
        <v>6</v>
      </c>
      <c r="S11" s="12" t="s">
        <v>7</v>
      </c>
      <c r="T11" s="12" t="s">
        <v>8</v>
      </c>
      <c r="U11" s="12" t="s">
        <v>9</v>
      </c>
      <c r="V11" s="12" t="s">
        <v>10</v>
      </c>
      <c r="W11" s="12" t="s">
        <v>11</v>
      </c>
      <c r="X11" s="12" t="s">
        <v>12</v>
      </c>
      <c r="Y11" s="12" t="s">
        <v>13</v>
      </c>
      <c r="Z11" s="12" t="s">
        <v>14</v>
      </c>
      <c r="AA11" s="12" t="s">
        <v>15</v>
      </c>
      <c r="AB11" s="12" t="s">
        <v>16</v>
      </c>
      <c r="AC11" s="13"/>
      <c r="AD11" s="12" t="s">
        <v>5</v>
      </c>
      <c r="AE11" s="12" t="s">
        <v>6</v>
      </c>
      <c r="AF11" s="12" t="s">
        <v>7</v>
      </c>
      <c r="AG11" s="12" t="s">
        <v>8</v>
      </c>
      <c r="AH11" s="12" t="s">
        <v>9</v>
      </c>
      <c r="AI11" s="12" t="s">
        <v>10</v>
      </c>
      <c r="AJ11" s="12" t="s">
        <v>11</v>
      </c>
      <c r="AK11" s="12" t="s">
        <v>12</v>
      </c>
      <c r="AL11" s="12" t="s">
        <v>13</v>
      </c>
      <c r="AM11" s="12" t="s">
        <v>14</v>
      </c>
      <c r="AN11" s="12" t="s">
        <v>15</v>
      </c>
      <c r="AO11" s="12" t="s">
        <v>16</v>
      </c>
    </row>
    <row r="12" customFormat="false" ht="12.75" hidden="false" customHeight="false" outlineLevel="0" collapsed="false">
      <c r="Q12" s="14" t="s">
        <v>17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D12" s="14" t="s">
        <v>17</v>
      </c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BA12" s="15" t="s">
        <v>17</v>
      </c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 t="s">
        <v>18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</row>
    <row r="13" s="16" customFormat="true" ht="26.25" hidden="false" customHeight="true" outlineLevel="0" collapsed="false">
      <c r="C13" s="17"/>
      <c r="D13" s="17"/>
      <c r="E13" s="17"/>
      <c r="F13" s="17"/>
      <c r="G13" s="17"/>
      <c r="H13" s="17"/>
      <c r="I13" s="18" t="s">
        <v>19</v>
      </c>
      <c r="J13" s="17" t="s">
        <v>18</v>
      </c>
      <c r="K13" s="17" t="s">
        <v>20</v>
      </c>
      <c r="L13" s="19" t="s">
        <v>21</v>
      </c>
      <c r="M13" s="20" t="s">
        <v>22</v>
      </c>
      <c r="N13" s="20" t="s">
        <v>23</v>
      </c>
      <c r="O13" s="20" t="s">
        <v>24</v>
      </c>
      <c r="P13" s="20" t="s">
        <v>25</v>
      </c>
      <c r="Q13" s="21" t="s">
        <v>26</v>
      </c>
      <c r="R13" s="21" t="s">
        <v>27</v>
      </c>
      <c r="S13" s="21" t="s">
        <v>28</v>
      </c>
      <c r="T13" s="21" t="s">
        <v>29</v>
      </c>
      <c r="U13" s="21" t="s">
        <v>30</v>
      </c>
      <c r="V13" s="22" t="s">
        <v>31</v>
      </c>
      <c r="W13" s="22" t="s">
        <v>32</v>
      </c>
      <c r="X13" s="21" t="s">
        <v>33</v>
      </c>
      <c r="Y13" s="21" t="s">
        <v>34</v>
      </c>
      <c r="Z13" s="21" t="s">
        <v>35</v>
      </c>
      <c r="AA13" s="21" t="s">
        <v>36</v>
      </c>
      <c r="AB13" s="21" t="s">
        <v>37</v>
      </c>
      <c r="AC13" s="23" t="s">
        <v>38</v>
      </c>
      <c r="AD13" s="24" t="s">
        <v>39</v>
      </c>
      <c r="AE13" s="24" t="s">
        <v>40</v>
      </c>
      <c r="AF13" s="24" t="s">
        <v>41</v>
      </c>
      <c r="AG13" s="24" t="s">
        <v>42</v>
      </c>
      <c r="AH13" s="24" t="s">
        <v>43</v>
      </c>
      <c r="AI13" s="24" t="s">
        <v>44</v>
      </c>
      <c r="AJ13" s="24" t="s">
        <v>45</v>
      </c>
      <c r="AK13" s="24" t="s">
        <v>46</v>
      </c>
      <c r="AL13" s="24" t="s">
        <v>47</v>
      </c>
      <c r="AM13" s="24" t="s">
        <v>48</v>
      </c>
      <c r="AN13" s="24" t="s">
        <v>49</v>
      </c>
      <c r="AO13" s="24" t="s">
        <v>50</v>
      </c>
      <c r="AP13" s="24" t="s">
        <v>38</v>
      </c>
      <c r="AQ13" s="24" t="s">
        <v>51</v>
      </c>
      <c r="AS13" s="17" t="s">
        <v>52</v>
      </c>
      <c r="AY13" s="25" t="str">
        <f aca="false">L13</f>
        <v>Effective Date
(MM/DD/YY)</v>
      </c>
      <c r="AZ13" s="25" t="str">
        <f aca="false">M13</f>
        <v>1st price increase %</v>
      </c>
      <c r="BA13" s="16" t="s">
        <v>53</v>
      </c>
      <c r="BB13" s="16" t="s">
        <v>54</v>
      </c>
      <c r="BC13" s="16" t="s">
        <v>55</v>
      </c>
      <c r="BD13" s="16" t="s">
        <v>56</v>
      </c>
      <c r="BE13" s="16" t="s">
        <v>57</v>
      </c>
      <c r="BF13" s="16" t="s">
        <v>58</v>
      </c>
      <c r="BG13" s="16" t="s">
        <v>59</v>
      </c>
      <c r="BH13" s="16" t="s">
        <v>60</v>
      </c>
      <c r="BI13" s="16" t="s">
        <v>61</v>
      </c>
      <c r="BJ13" s="16" t="s">
        <v>48</v>
      </c>
      <c r="BK13" s="16" t="s">
        <v>49</v>
      </c>
      <c r="BL13" s="16" t="s">
        <v>50</v>
      </c>
      <c r="BM13" s="16" t="s">
        <v>53</v>
      </c>
      <c r="BN13" s="16" t="s">
        <v>54</v>
      </c>
      <c r="BO13" s="16" t="s">
        <v>55</v>
      </c>
      <c r="BP13" s="16" t="s">
        <v>56</v>
      </c>
      <c r="BQ13" s="16" t="s">
        <v>57</v>
      </c>
      <c r="BR13" s="16" t="s">
        <v>58</v>
      </c>
      <c r="BS13" s="16" t="s">
        <v>59</v>
      </c>
      <c r="BT13" s="16" t="s">
        <v>60</v>
      </c>
      <c r="BU13" s="16" t="s">
        <v>61</v>
      </c>
      <c r="BV13" s="16" t="s">
        <v>48</v>
      </c>
      <c r="BW13" s="16" t="s">
        <v>49</v>
      </c>
      <c r="BX13" s="16" t="s">
        <v>50</v>
      </c>
    </row>
    <row r="14" customFormat="false" ht="12.75" hidden="false" customHeight="false" outlineLevel="0" collapsed="false">
      <c r="C14" s="13"/>
      <c r="D14" s="13"/>
      <c r="E14" s="13"/>
      <c r="F14" s="13"/>
      <c r="G14" s="13"/>
      <c r="H14" s="13"/>
      <c r="I14" s="26" t="s">
        <v>3</v>
      </c>
      <c r="J14" s="26" t="n">
        <f aca="false">IFERROR(VLOOKUP(I14,$I$6:$J$8,2,FALSE()),"Select freq")</f>
        <v>6</v>
      </c>
      <c r="K14" s="27" t="s">
        <v>62</v>
      </c>
      <c r="L14" s="28" t="n">
        <v>44743</v>
      </c>
      <c r="M14" s="29" t="n">
        <v>0.097</v>
      </c>
      <c r="N14" s="29" t="n">
        <v>0.04</v>
      </c>
      <c r="O14" s="29"/>
      <c r="P14" s="29"/>
      <c r="Q14" s="30" t="n">
        <v>50317.2985764276</v>
      </c>
      <c r="R14" s="30" t="n">
        <v>58122.7925065551</v>
      </c>
      <c r="S14" s="30" t="n">
        <v>43035.8699635208</v>
      </c>
      <c r="T14" s="30" t="n">
        <v>62182.3268738104</v>
      </c>
      <c r="U14" s="30" t="n">
        <v>38155.3278578487</v>
      </c>
      <c r="V14" s="30" t="n">
        <v>50028.5406483855</v>
      </c>
      <c r="W14" s="30" t="n">
        <v>36044.1190348108</v>
      </c>
      <c r="X14" s="30" t="n">
        <v>36044.1190348108</v>
      </c>
      <c r="Y14" s="30" t="n">
        <v>54891.153115461</v>
      </c>
      <c r="Z14" s="30" t="n">
        <v>45055.1487935135</v>
      </c>
      <c r="AA14" s="30" t="n">
        <v>66080.8848971532</v>
      </c>
      <c r="AB14" s="30" t="n">
        <v>66080.8848971532</v>
      </c>
      <c r="AC14" s="31" t="n">
        <f aca="false">+SUM(Q14:AB14)</f>
        <v>606038.46619945</v>
      </c>
      <c r="AD14" s="30" t="n">
        <v>39540.3985811875</v>
      </c>
      <c r="AE14" s="30" t="n">
        <v>39540.3985811875</v>
      </c>
      <c r="AF14" s="30" t="n">
        <v>39540.3985811875</v>
      </c>
      <c r="AG14" s="30" t="n">
        <v>39540.3985811875</v>
      </c>
      <c r="AH14" s="30" t="n">
        <v>39540.3985811875</v>
      </c>
      <c r="AI14" s="30" t="n">
        <v>39540.3985811875</v>
      </c>
      <c r="AJ14" s="30" t="n">
        <v>41122.014524435</v>
      </c>
      <c r="AK14" s="30" t="n">
        <v>41122.014524435</v>
      </c>
      <c r="AL14" s="30" t="n">
        <v>41122.014524435</v>
      </c>
      <c r="AM14" s="30" t="n">
        <v>41122.014524435</v>
      </c>
      <c r="AN14" s="30" t="n">
        <v>41122.014524435</v>
      </c>
      <c r="AO14" s="30" t="n">
        <v>41122.014524435</v>
      </c>
      <c r="AP14" s="31" t="n">
        <f aca="false">+SUM(AD14:AO14)</f>
        <v>483974.478633735</v>
      </c>
      <c r="AQ14" s="31" t="n">
        <f aca="false">+AP14-AC14</f>
        <v>-122063.987565716</v>
      </c>
      <c r="AR14" s="32" t="n">
        <f aca="false">+AQ14/AC14</f>
        <v>-0.2014129372533</v>
      </c>
      <c r="AS14" s="13"/>
      <c r="AY14" s="3" t="n">
        <f aca="false">L14</f>
        <v>44743</v>
      </c>
      <c r="AZ14" s="33" t="n">
        <f aca="false">M14</f>
        <v>0.097</v>
      </c>
    </row>
    <row r="15" customFormat="false" ht="12.75" hidden="false" customHeight="false" outlineLevel="0" collapsed="false">
      <c r="C15" s="13"/>
      <c r="D15" s="13"/>
      <c r="E15" s="13"/>
      <c r="F15" s="13"/>
      <c r="G15" s="13"/>
      <c r="H15" s="13"/>
      <c r="I15" s="26" t="s">
        <v>0</v>
      </c>
      <c r="J15" s="26" t="n">
        <f aca="false">IFERROR(VLOOKUP(I15,$I$6:$J$8,2,FALSE()),"Select freq")</f>
        <v>1</v>
      </c>
      <c r="K15" s="27" t="s">
        <v>62</v>
      </c>
      <c r="L15" s="28" t="n">
        <v>44743</v>
      </c>
      <c r="M15" s="29" t="n">
        <v>0.097</v>
      </c>
      <c r="N15" s="29"/>
      <c r="O15" s="29"/>
      <c r="P15" s="29"/>
      <c r="Q15" s="30" t="n">
        <v>16444.2852293475</v>
      </c>
      <c r="R15" s="30" t="n">
        <v>81104.7968340941</v>
      </c>
      <c r="S15" s="30" t="n">
        <v>88230.3893939188</v>
      </c>
      <c r="T15" s="30" t="n">
        <v>46558.6085549486</v>
      </c>
      <c r="U15" s="30" t="n">
        <v>44863.2860992232</v>
      </c>
      <c r="V15" s="30" t="n">
        <v>58961.4190512167</v>
      </c>
      <c r="W15" s="30" t="n">
        <v>44509.8422499026</v>
      </c>
      <c r="X15" s="30" t="n">
        <v>44509.8422499026</v>
      </c>
      <c r="Y15" s="30" t="n">
        <v>67783.5006516549</v>
      </c>
      <c r="Z15" s="30" t="n">
        <v>55637.3028123783</v>
      </c>
      <c r="AA15" s="30" t="n">
        <v>81601.3774581549</v>
      </c>
      <c r="AB15" s="30" t="n">
        <v>81601.3774581549</v>
      </c>
      <c r="AC15" s="31" t="n">
        <f aca="false">+SUM(Q15:AB15)</f>
        <v>711806.028042897</v>
      </c>
      <c r="AD15" s="30" t="n">
        <v>48827.2969481432</v>
      </c>
      <c r="AE15" s="30" t="n">
        <v>48827.2969481432</v>
      </c>
      <c r="AF15" s="30" t="n">
        <v>48827.2969481432</v>
      </c>
      <c r="AG15" s="30" t="n">
        <v>48827.2969481432</v>
      </c>
      <c r="AH15" s="30" t="n">
        <v>48827.2969481432</v>
      </c>
      <c r="AI15" s="30" t="n">
        <v>48827.2969481432</v>
      </c>
      <c r="AJ15" s="30" t="n">
        <v>48827.2969481432</v>
      </c>
      <c r="AK15" s="30" t="n">
        <v>48827.2969481432</v>
      </c>
      <c r="AL15" s="30" t="n">
        <v>48827.2969481432</v>
      </c>
      <c r="AM15" s="30" t="n">
        <v>48827.2969481432</v>
      </c>
      <c r="AN15" s="30" t="n">
        <v>48827.2969481432</v>
      </c>
      <c r="AO15" s="30" t="n">
        <v>48827.2969481432</v>
      </c>
      <c r="AP15" s="31" t="n">
        <f aca="false">+SUM(AD15:AO15)</f>
        <v>585927.563377718</v>
      </c>
      <c r="AQ15" s="31" t="n">
        <f aca="false">+AP15-AC15</f>
        <v>-125878.464665179</v>
      </c>
      <c r="AR15" s="32" t="n">
        <f aca="false">+AQ15/AC15</f>
        <v>-0.176843774435685</v>
      </c>
      <c r="AS15" s="13"/>
      <c r="AY15" s="3" t="n">
        <f aca="false">L15</f>
        <v>44743</v>
      </c>
      <c r="AZ15" s="33" t="n">
        <f aca="false">M15</f>
        <v>0.097</v>
      </c>
    </row>
    <row r="16" customFormat="false" ht="12.75" hidden="false" customHeight="false" outlineLevel="0" collapsed="false">
      <c r="C16" s="13"/>
      <c r="D16" s="13"/>
      <c r="E16" s="13"/>
      <c r="F16" s="13"/>
      <c r="G16" s="13"/>
      <c r="H16" s="13"/>
      <c r="I16" s="26"/>
      <c r="J16" s="26" t="str">
        <f aca="false">IFERROR(VLOOKUP(I16,$I$6:$J$8,2,FALSE()),"Select freq")</f>
        <v>Select freq</v>
      </c>
      <c r="K16" s="27"/>
      <c r="L16" s="28"/>
      <c r="M16" s="29"/>
      <c r="N16" s="29"/>
      <c r="O16" s="29"/>
      <c r="P16" s="29"/>
      <c r="Q16" s="30" t="n">
        <v>0</v>
      </c>
      <c r="R16" s="30" t="n">
        <v>0</v>
      </c>
      <c r="S16" s="30" t="n">
        <v>0</v>
      </c>
      <c r="T16" s="30" t="n">
        <v>0</v>
      </c>
      <c r="U16" s="30" t="n">
        <v>0</v>
      </c>
      <c r="V16" s="30" t="n">
        <v>0</v>
      </c>
      <c r="W16" s="30" t="n">
        <v>0</v>
      </c>
      <c r="X16" s="30" t="n">
        <v>0</v>
      </c>
      <c r="Y16" s="30" t="n">
        <v>0</v>
      </c>
      <c r="Z16" s="30" t="n">
        <v>0</v>
      </c>
      <c r="AA16" s="30" t="n">
        <v>0</v>
      </c>
      <c r="AB16" s="30" t="n">
        <v>0</v>
      </c>
      <c r="AC16" s="31" t="n">
        <f aca="false">+SUM(Q16:AB16)</f>
        <v>0</v>
      </c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1" t="n">
        <f aca="false">+SUM(AD16:AO16)</f>
        <v>0</v>
      </c>
      <c r="AQ16" s="31" t="n">
        <f aca="false">+AP16-AC16</f>
        <v>0</v>
      </c>
      <c r="AR16" s="32"/>
      <c r="AS16" s="13"/>
      <c r="AY16" s="3" t="n">
        <f aca="false">L16</f>
        <v>0</v>
      </c>
      <c r="AZ16" s="33" t="n">
        <f aca="false">M16</f>
        <v>0</v>
      </c>
    </row>
    <row r="17" customFormat="false" ht="12.75" hidden="false" customHeight="false" outlineLevel="0" collapsed="false">
      <c r="C17" s="13"/>
      <c r="D17" s="13"/>
      <c r="E17" s="13"/>
      <c r="F17" s="13"/>
      <c r="G17" s="13"/>
      <c r="H17" s="13"/>
      <c r="I17" s="26" t="s">
        <v>4</v>
      </c>
      <c r="J17" s="26" t="n">
        <f aca="false">IFERROR(VLOOKUP(I17,$I$6:$J$8,2,FALSE()),"Select freq")</f>
        <v>3</v>
      </c>
      <c r="K17" s="27" t="s">
        <v>62</v>
      </c>
      <c r="L17" s="28" t="n">
        <v>44805</v>
      </c>
      <c r="M17" s="29" t="n">
        <v>0.035</v>
      </c>
      <c r="N17" s="29" t="n">
        <v>0.035</v>
      </c>
      <c r="O17" s="29" t="n">
        <v>0.035</v>
      </c>
      <c r="P17" s="29" t="n">
        <v>0.035</v>
      </c>
      <c r="Q17" s="30" t="n">
        <v>105525.012</v>
      </c>
      <c r="R17" s="30" t="n">
        <v>291685.7865</v>
      </c>
      <c r="S17" s="30" t="n">
        <v>240792.596</v>
      </c>
      <c r="T17" s="30" t="n">
        <v>199618.630111406</v>
      </c>
      <c r="U17" s="30" t="n">
        <v>202009.418900558</v>
      </c>
      <c r="V17" s="30" t="n">
        <v>214859.408406976</v>
      </c>
      <c r="W17" s="30" t="n">
        <v>154800</v>
      </c>
      <c r="X17" s="30" t="n">
        <v>154800</v>
      </c>
      <c r="Y17" s="30" t="n">
        <v>235743.048514154</v>
      </c>
      <c r="Z17" s="30" t="n">
        <v>193500</v>
      </c>
      <c r="AA17" s="30" t="n">
        <v>283800</v>
      </c>
      <c r="AB17" s="30" t="n">
        <v>283800</v>
      </c>
      <c r="AC17" s="31" t="n">
        <f aca="false">+SUM(Q17:AB17)</f>
        <v>2560933.90043309</v>
      </c>
      <c r="AD17" s="30"/>
      <c r="AE17" s="30"/>
      <c r="AF17" s="30" t="n">
        <v>160218</v>
      </c>
      <c r="AG17" s="30" t="n">
        <v>160218</v>
      </c>
      <c r="AH17" s="30" t="n">
        <v>160218</v>
      </c>
      <c r="AI17" s="30" t="n">
        <v>165825.63</v>
      </c>
      <c r="AJ17" s="30" t="n">
        <v>165825.63</v>
      </c>
      <c r="AK17" s="30" t="n">
        <v>165825.63</v>
      </c>
      <c r="AL17" s="30" t="n">
        <v>171629.52705</v>
      </c>
      <c r="AM17" s="30" t="n">
        <v>171629.52705</v>
      </c>
      <c r="AN17" s="30" t="n">
        <v>171629.52705</v>
      </c>
      <c r="AO17" s="30" t="n">
        <v>177636.56049675</v>
      </c>
      <c r="AP17" s="31" t="n">
        <f aca="false">+SUM(AD17:AO17)</f>
        <v>1670656.03164675</v>
      </c>
      <c r="AQ17" s="31" t="n">
        <f aca="false">+AP17-AC17</f>
        <v>-890277.868786345</v>
      </c>
      <c r="AR17" s="32" t="n">
        <f aca="false">+AQ17/AC17</f>
        <v>-0.347637972473942</v>
      </c>
      <c r="AS17" s="13"/>
      <c r="AY17" s="3" t="n">
        <f aca="false">L17</f>
        <v>44805</v>
      </c>
      <c r="AZ17" s="33" t="n">
        <f aca="false">M17</f>
        <v>0.035</v>
      </c>
    </row>
    <row r="18" customFormat="false" ht="12.75" hidden="false" customHeight="false" outlineLevel="0" collapsed="false">
      <c r="C18" s="13"/>
      <c r="D18" s="13"/>
      <c r="E18" s="13"/>
      <c r="F18" s="13"/>
      <c r="G18" s="13"/>
      <c r="H18" s="13"/>
      <c r="I18" s="26" t="s">
        <v>0</v>
      </c>
      <c r="J18" s="26" t="n">
        <f aca="false">IFERROR(VLOOKUP(I18,$I$6:$J$8,2,FALSE()),"Select freq")</f>
        <v>1</v>
      </c>
      <c r="K18" s="27" t="s">
        <v>62</v>
      </c>
      <c r="L18" s="28" t="n">
        <v>44743</v>
      </c>
      <c r="M18" s="29" t="n">
        <v>0.097</v>
      </c>
      <c r="N18" s="29"/>
      <c r="O18" s="29"/>
      <c r="P18" s="29"/>
      <c r="Q18" s="30" t="n">
        <v>89121.7236950723</v>
      </c>
      <c r="R18" s="30" t="n">
        <v>96742.0368048284</v>
      </c>
      <c r="S18" s="30" t="n">
        <v>169035.768</v>
      </c>
      <c r="T18" s="30" t="n">
        <v>134218.18414184</v>
      </c>
      <c r="U18" s="30" t="n">
        <v>89540.4939922121</v>
      </c>
      <c r="V18" s="30" t="n">
        <v>137909.75981471</v>
      </c>
      <c r="W18" s="30" t="n">
        <v>104129.075409602</v>
      </c>
      <c r="X18" s="30" t="n">
        <v>104129.075409602</v>
      </c>
      <c r="Y18" s="30" t="n">
        <v>158576.910051809</v>
      </c>
      <c r="Z18" s="30" t="n">
        <v>130161.344262003</v>
      </c>
      <c r="AA18" s="30" t="n">
        <v>190903.304917604</v>
      </c>
      <c r="AB18" s="30" t="n">
        <v>190903.304917604</v>
      </c>
      <c r="AC18" s="31" t="n">
        <f aca="false">+SUM(Q18:AB18)</f>
        <v>1595370.98141689</v>
      </c>
      <c r="AD18" s="30" t="n">
        <v>114229.595724334</v>
      </c>
      <c r="AE18" s="30" t="n">
        <v>114229.595724334</v>
      </c>
      <c r="AF18" s="30" t="n">
        <v>114229.595724334</v>
      </c>
      <c r="AG18" s="30" t="n">
        <v>114229.595724334</v>
      </c>
      <c r="AH18" s="30" t="n">
        <v>114229.595724334</v>
      </c>
      <c r="AI18" s="30" t="n">
        <v>114229.595724334</v>
      </c>
      <c r="AJ18" s="30" t="n">
        <v>114229.595724334</v>
      </c>
      <c r="AK18" s="30" t="n">
        <v>114229.595724334</v>
      </c>
      <c r="AL18" s="30" t="n">
        <v>114229.595724334</v>
      </c>
      <c r="AM18" s="30" t="n">
        <v>114229.595724334</v>
      </c>
      <c r="AN18" s="30" t="n">
        <v>114229.595724334</v>
      </c>
      <c r="AO18" s="30" t="n">
        <v>114229.595724334</v>
      </c>
      <c r="AP18" s="31" t="n">
        <f aca="false">+SUM(AD18:AO18)</f>
        <v>1370755.148692</v>
      </c>
      <c r="AQ18" s="31" t="n">
        <f aca="false">+AP18-AC18</f>
        <v>-224615.832724883</v>
      </c>
      <c r="AR18" s="32" t="n">
        <f aca="false">+AQ18/AC18</f>
        <v>-0.140792226598854</v>
      </c>
      <c r="AS18" s="13"/>
      <c r="AY18" s="3" t="n">
        <f aca="false">L18</f>
        <v>44743</v>
      </c>
      <c r="AZ18" s="33" t="n">
        <f aca="false">M18</f>
        <v>0.097</v>
      </c>
    </row>
    <row r="19" customFormat="false" ht="12.75" hidden="false" customHeight="false" outlineLevel="0" collapsed="false">
      <c r="C19" s="13"/>
      <c r="D19" s="13"/>
      <c r="E19" s="13"/>
      <c r="F19" s="13"/>
      <c r="G19" s="13"/>
      <c r="H19" s="13"/>
      <c r="I19" s="26" t="s">
        <v>0</v>
      </c>
      <c r="J19" s="26" t="n">
        <f aca="false">IFERROR(VLOOKUP(I19,$I$6:$J$8,2,FALSE()),"Select freq")</f>
        <v>1</v>
      </c>
      <c r="K19" s="27" t="s">
        <v>62</v>
      </c>
      <c r="L19" s="28" t="n">
        <v>44743</v>
      </c>
      <c r="M19" s="29" t="n">
        <v>0.097</v>
      </c>
      <c r="N19" s="29"/>
      <c r="O19" s="29"/>
      <c r="P19" s="29"/>
      <c r="Q19" s="30" t="n">
        <v>53383.179</v>
      </c>
      <c r="R19" s="30" t="n">
        <v>65198.196</v>
      </c>
      <c r="S19" s="30" t="n">
        <v>86374.1755541368</v>
      </c>
      <c r="T19" s="30" t="n">
        <v>82895.3921030404</v>
      </c>
      <c r="U19" s="30" t="n">
        <v>72700.3387169126</v>
      </c>
      <c r="V19" s="30" t="n">
        <v>143905.836328393</v>
      </c>
      <c r="W19" s="30" t="n">
        <v>63364.68</v>
      </c>
      <c r="X19" s="30" t="n">
        <v>63364.68</v>
      </c>
      <c r="Y19" s="30" t="n">
        <v>96497.3051119114</v>
      </c>
      <c r="Z19" s="30" t="n">
        <v>79205.85</v>
      </c>
      <c r="AA19" s="30" t="n">
        <v>116168.58</v>
      </c>
      <c r="AB19" s="30" t="n">
        <v>116168.58</v>
      </c>
      <c r="AC19" s="31" t="n">
        <f aca="false">+SUM(Q19:AB19)</f>
        <v>1039226.79281439</v>
      </c>
      <c r="AD19" s="30" t="n">
        <v>69511.05396</v>
      </c>
      <c r="AE19" s="30" t="n">
        <v>69511.05396</v>
      </c>
      <c r="AF19" s="30" t="n">
        <v>69511.05396</v>
      </c>
      <c r="AG19" s="30" t="n">
        <v>69511.05396</v>
      </c>
      <c r="AH19" s="30" t="n">
        <v>69511.05396</v>
      </c>
      <c r="AI19" s="30" t="n">
        <v>69511.05396</v>
      </c>
      <c r="AJ19" s="30" t="n">
        <v>69511.05396</v>
      </c>
      <c r="AK19" s="30" t="n">
        <v>69511.05396</v>
      </c>
      <c r="AL19" s="30" t="n">
        <v>69511.05396</v>
      </c>
      <c r="AM19" s="30" t="n">
        <v>69511.05396</v>
      </c>
      <c r="AN19" s="30" t="n">
        <v>69511.05396</v>
      </c>
      <c r="AO19" s="30" t="n">
        <v>69511.05396</v>
      </c>
      <c r="AP19" s="31" t="n">
        <f aca="false">+SUM(AD19:AO19)</f>
        <v>834132.64752</v>
      </c>
      <c r="AQ19" s="31" t="n">
        <f aca="false">+AP19-AC19</f>
        <v>-205094.145294395</v>
      </c>
      <c r="AR19" s="32" t="n">
        <f aca="false">+AQ19/AC19</f>
        <v>-0.19735263439366</v>
      </c>
      <c r="AS19" s="13"/>
      <c r="AY19" s="3" t="n">
        <f aca="false">L19</f>
        <v>44743</v>
      </c>
      <c r="AZ19" s="33" t="n">
        <f aca="false">M19</f>
        <v>0.097</v>
      </c>
    </row>
    <row r="20" customFormat="false" ht="12.75" hidden="false" customHeight="false" outlineLevel="0" collapsed="false">
      <c r="C20" s="13"/>
      <c r="D20" s="13"/>
      <c r="E20" s="13"/>
      <c r="F20" s="13"/>
      <c r="G20" s="13"/>
      <c r="H20" s="13"/>
      <c r="I20" s="26" t="s">
        <v>0</v>
      </c>
      <c r="J20" s="26" t="n">
        <f aca="false">IFERROR(VLOOKUP(I20,$I$6:$J$8,2,FALSE()),"Select freq")</f>
        <v>1</v>
      </c>
      <c r="K20" s="27" t="s">
        <v>62</v>
      </c>
      <c r="L20" s="28" t="n">
        <v>44743</v>
      </c>
      <c r="M20" s="29" t="n">
        <v>0.097</v>
      </c>
      <c r="N20" s="29"/>
      <c r="O20" s="29"/>
      <c r="P20" s="29"/>
      <c r="Q20" s="30" t="n">
        <v>238602.275397349</v>
      </c>
      <c r="R20" s="30" t="n">
        <v>267242.669675961</v>
      </c>
      <c r="S20" s="30" t="n">
        <v>510367.857221359</v>
      </c>
      <c r="T20" s="30" t="n">
        <v>405529.532386001</v>
      </c>
      <c r="U20" s="30" t="n">
        <v>435385.041119154</v>
      </c>
      <c r="V20" s="30" t="n">
        <v>305958.35940895</v>
      </c>
      <c r="W20" s="30" t="n">
        <v>231053.613175288</v>
      </c>
      <c r="X20" s="30" t="n">
        <v>231053.613175288</v>
      </c>
      <c r="Y20" s="30" t="n">
        <v>351868.754135353</v>
      </c>
      <c r="Z20" s="30" t="n">
        <v>288817.01646911</v>
      </c>
      <c r="AA20" s="30" t="n">
        <v>423598.290821362</v>
      </c>
      <c r="AB20" s="30" t="n">
        <v>423598.290821362</v>
      </c>
      <c r="AC20" s="31" t="n">
        <f aca="false">+SUM(Q20:AB20)</f>
        <v>4113075.31380654</v>
      </c>
      <c r="AD20" s="30" t="n">
        <v>253465.813653291</v>
      </c>
      <c r="AE20" s="30" t="n">
        <v>253465.813653291</v>
      </c>
      <c r="AF20" s="30" t="n">
        <v>253465.813653291</v>
      </c>
      <c r="AG20" s="30" t="n">
        <v>253465.813653291</v>
      </c>
      <c r="AH20" s="30" t="n">
        <v>253465.813653291</v>
      </c>
      <c r="AI20" s="30" t="n">
        <v>253465.813653291</v>
      </c>
      <c r="AJ20" s="30" t="n">
        <v>253465.813653291</v>
      </c>
      <c r="AK20" s="30" t="n">
        <v>253465.813653291</v>
      </c>
      <c r="AL20" s="30" t="n">
        <v>253465.813653291</v>
      </c>
      <c r="AM20" s="30" t="n">
        <v>253465.813653291</v>
      </c>
      <c r="AN20" s="30" t="n">
        <v>253465.813653291</v>
      </c>
      <c r="AO20" s="30" t="n">
        <v>253465.813653291</v>
      </c>
      <c r="AP20" s="31" t="n">
        <f aca="false">+SUM(AD20:AO20)</f>
        <v>3041589.7638395</v>
      </c>
      <c r="AQ20" s="31" t="n">
        <f aca="false">+AP20-AC20</f>
        <v>-1071485.54996704</v>
      </c>
      <c r="AR20" s="32" t="n">
        <f aca="false">+AQ20/AC20</f>
        <v>-0.260507155405188</v>
      </c>
      <c r="AS20" s="13" t="s">
        <v>63</v>
      </c>
      <c r="AY20" s="3" t="n">
        <f aca="false">L20</f>
        <v>44743</v>
      </c>
      <c r="AZ20" s="33" t="n">
        <f aca="false">M20</f>
        <v>0.097</v>
      </c>
    </row>
    <row r="21" customFormat="false" ht="12.75" hidden="false" customHeight="false" outlineLevel="0" collapsed="false">
      <c r="C21" s="13"/>
      <c r="D21" s="13"/>
      <c r="E21" s="13"/>
      <c r="F21" s="13"/>
      <c r="G21" s="13"/>
      <c r="H21" s="13"/>
      <c r="I21" s="26" t="s">
        <v>0</v>
      </c>
      <c r="J21" s="26" t="n">
        <f aca="false">IFERROR(VLOOKUP(I21,$I$6:$J$8,2,FALSE()),"Select freq")</f>
        <v>1</v>
      </c>
      <c r="K21" s="27" t="s">
        <v>62</v>
      </c>
      <c r="L21" s="28" t="n">
        <v>44743</v>
      </c>
      <c r="M21" s="29" t="n">
        <v>0.097</v>
      </c>
      <c r="N21" s="29"/>
      <c r="O21" s="29"/>
      <c r="P21" s="29"/>
      <c r="Q21" s="30" t="n">
        <v>39647.6685693407</v>
      </c>
      <c r="R21" s="30" t="n">
        <v>12410.2812226503</v>
      </c>
      <c r="S21" s="30" t="n">
        <v>19149.3619219029</v>
      </c>
      <c r="T21" s="30" t="n">
        <v>22169.9351751356</v>
      </c>
      <c r="U21" s="30" t="n">
        <v>21903.8007264667</v>
      </c>
      <c r="V21" s="30" t="n">
        <v>19986.9217122768</v>
      </c>
      <c r="W21" s="30" t="n">
        <v>15091.2715679492</v>
      </c>
      <c r="X21" s="30" t="n">
        <v>15091.2715679492</v>
      </c>
      <c r="Y21" s="30" t="n">
        <v>22982.315021856</v>
      </c>
      <c r="Z21" s="30" t="n">
        <v>18864.0894599365</v>
      </c>
      <c r="AA21" s="30" t="n">
        <v>27667.3312079068</v>
      </c>
      <c r="AB21" s="30" t="n">
        <v>27667.3312079068</v>
      </c>
      <c r="AC21" s="31" t="n">
        <f aca="false">+SUM(Q21:AB21)</f>
        <v>262631.579361277</v>
      </c>
      <c r="AD21" s="30" t="n">
        <v>16555.1249100402</v>
      </c>
      <c r="AE21" s="30" t="n">
        <v>16555.1249100402</v>
      </c>
      <c r="AF21" s="30" t="n">
        <v>16555.1249100402</v>
      </c>
      <c r="AG21" s="30" t="n">
        <v>16555.1249100402</v>
      </c>
      <c r="AH21" s="30" t="n">
        <v>16555.1249100402</v>
      </c>
      <c r="AI21" s="30" t="n">
        <v>16555.1249100402</v>
      </c>
      <c r="AJ21" s="30" t="n">
        <v>16555.1249100402</v>
      </c>
      <c r="AK21" s="30" t="n">
        <v>16555.1249100402</v>
      </c>
      <c r="AL21" s="30" t="n">
        <v>16555.1249100402</v>
      </c>
      <c r="AM21" s="30" t="n">
        <v>16555.1249100402</v>
      </c>
      <c r="AN21" s="30" t="n">
        <v>16555.1249100402</v>
      </c>
      <c r="AO21" s="30" t="n">
        <v>16555.1249100402</v>
      </c>
      <c r="AP21" s="31" t="n">
        <f aca="false">+SUM(AD21:AO21)</f>
        <v>198661.498920483</v>
      </c>
      <c r="AQ21" s="31" t="n">
        <f aca="false">+AP21-AC21</f>
        <v>-63970.0804407949</v>
      </c>
      <c r="AR21" s="32" t="n">
        <f aca="false">+AQ21/AC21</f>
        <v>-0.243573452196307</v>
      </c>
      <c r="AS21" s="13"/>
      <c r="AY21" s="3" t="n">
        <f aca="false">L21</f>
        <v>44743</v>
      </c>
      <c r="AZ21" s="33" t="n">
        <f aca="false">M21</f>
        <v>0.097</v>
      </c>
    </row>
    <row r="22" customFormat="false" ht="12.75" hidden="false" customHeight="false" outlineLevel="0" collapsed="false">
      <c r="C22" s="13"/>
      <c r="D22" s="13"/>
      <c r="E22" s="13"/>
      <c r="F22" s="13"/>
      <c r="G22" s="13"/>
      <c r="H22" s="13"/>
      <c r="I22" s="26"/>
      <c r="J22" s="26" t="str">
        <f aca="false">IFERROR(VLOOKUP(I22,$I$6:$J$8,2,FALSE()),"Select freq")</f>
        <v>Select freq</v>
      </c>
      <c r="K22" s="27"/>
      <c r="L22" s="28"/>
      <c r="M22" s="34"/>
      <c r="N22" s="34"/>
      <c r="O22" s="34"/>
      <c r="P22" s="34"/>
      <c r="Q22" s="30" t="n">
        <v>36287.6869826034</v>
      </c>
      <c r="R22" s="30" t="n">
        <v>72868.0133569266</v>
      </c>
      <c r="S22" s="30" t="n">
        <v>92882.0323263344</v>
      </c>
      <c r="T22" s="30" t="n">
        <v>188379.743874594</v>
      </c>
      <c r="U22" s="30" t="n">
        <v>21072.2360282745</v>
      </c>
      <c r="V22" s="30" t="n">
        <v>38482.8902446143</v>
      </c>
      <c r="W22" s="30" t="n">
        <v>34657.2641037352</v>
      </c>
      <c r="X22" s="30" t="n">
        <v>60891.0801670575</v>
      </c>
      <c r="Y22" s="30" t="n">
        <v>67440.2107864783</v>
      </c>
      <c r="Z22" s="30" t="n">
        <v>59697.1374186838</v>
      </c>
      <c r="AA22" s="30" t="n">
        <v>65666.8511605522</v>
      </c>
      <c r="AB22" s="30" t="n">
        <v>72036.5357231258</v>
      </c>
      <c r="AC22" s="31" t="n">
        <f aca="false">+SUM(Q22:AB22)</f>
        <v>810361.68217298</v>
      </c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1" t="n">
        <f aca="false">+SUM(AD22:AO22)</f>
        <v>0</v>
      </c>
      <c r="AQ22" s="31" t="n">
        <f aca="false">+AP22-AC22</f>
        <v>-810361.68217298</v>
      </c>
      <c r="AR22" s="32" t="n">
        <f aca="false">+AQ22/AC22</f>
        <v>-1</v>
      </c>
      <c r="AS22" s="13"/>
      <c r="AY22" s="3" t="n">
        <f aca="false">L22</f>
        <v>0</v>
      </c>
      <c r="AZ22" s="33" t="n">
        <f aca="false">M22</f>
        <v>0</v>
      </c>
    </row>
    <row r="23" customFormat="false" ht="12.75" hidden="false" customHeight="false" outlineLevel="0" collapsed="false">
      <c r="C23" s="13"/>
      <c r="D23" s="13"/>
      <c r="E23" s="13"/>
      <c r="F23" s="13"/>
      <c r="G23" s="13"/>
      <c r="H23" s="13"/>
      <c r="I23" s="26" t="s">
        <v>0</v>
      </c>
      <c r="J23" s="26" t="n">
        <f aca="false">IFERROR(VLOOKUP(I23,$I$6:$J$8,2,FALSE()),"Select freq")</f>
        <v>1</v>
      </c>
      <c r="K23" s="27"/>
      <c r="L23" s="28" t="n">
        <v>44743</v>
      </c>
      <c r="M23" s="29" t="n">
        <v>0.097</v>
      </c>
      <c r="N23" s="29"/>
      <c r="O23" s="29"/>
      <c r="P23" s="29"/>
      <c r="Q23" s="30" t="n">
        <v>354889.949820937</v>
      </c>
      <c r="R23" s="30" t="n">
        <v>354889.949820937</v>
      </c>
      <c r="S23" s="30" t="n">
        <v>360678.678740032</v>
      </c>
      <c r="T23" s="30" t="n">
        <v>356819.526127302</v>
      </c>
      <c r="U23" s="30" t="n">
        <v>356819.526127302</v>
      </c>
      <c r="V23" s="30" t="n">
        <v>356794.290573184</v>
      </c>
      <c r="W23" s="30" t="n">
        <v>346013.898811658</v>
      </c>
      <c r="X23" s="30" t="n">
        <v>346013.898811658</v>
      </c>
      <c r="Y23" s="30" t="n">
        <v>360542.809377041</v>
      </c>
      <c r="Z23" s="30" t="n">
        <v>352960.373514572</v>
      </c>
      <c r="AA23" s="30" t="n">
        <v>369168.814488039</v>
      </c>
      <c r="AB23" s="30" t="n">
        <v>369168.814488039</v>
      </c>
      <c r="AC23" s="31" t="n">
        <f aca="false">+SUM(Q23:AB23)</f>
        <v>4284760.5307007</v>
      </c>
      <c r="AD23" s="30" t="n">
        <v>379577.246996388</v>
      </c>
      <c r="AE23" s="30" t="n">
        <v>379577.246996388</v>
      </c>
      <c r="AF23" s="30" t="n">
        <v>379577.246996388</v>
      </c>
      <c r="AG23" s="30" t="n">
        <v>379577.246996388</v>
      </c>
      <c r="AH23" s="30" t="n">
        <v>379577.246996388</v>
      </c>
      <c r="AI23" s="30" t="n">
        <v>379577.246996388</v>
      </c>
      <c r="AJ23" s="30" t="n">
        <v>379577.246996388</v>
      </c>
      <c r="AK23" s="30" t="n">
        <v>379577.246996388</v>
      </c>
      <c r="AL23" s="30" t="n">
        <v>379577.246996388</v>
      </c>
      <c r="AM23" s="30" t="n">
        <v>379577.246996388</v>
      </c>
      <c r="AN23" s="30" t="n">
        <v>379577.246996388</v>
      </c>
      <c r="AO23" s="30" t="n">
        <v>379577.246996388</v>
      </c>
      <c r="AP23" s="31" t="n">
        <f aca="false">+SUM(AD23:AO23)</f>
        <v>4554926.96395666</v>
      </c>
      <c r="AQ23" s="31" t="n">
        <f aca="false">+AP23-AC23</f>
        <v>270166.433255959</v>
      </c>
      <c r="AR23" s="32" t="n">
        <f aca="false">+AQ23/AC23</f>
        <v>0.0630528663901266</v>
      </c>
      <c r="AS23" s="13"/>
      <c r="AY23" s="3" t="n">
        <f aca="false">L23</f>
        <v>44743</v>
      </c>
      <c r="AZ23" s="33" t="n">
        <f aca="false">M23</f>
        <v>0.097</v>
      </c>
    </row>
    <row r="24" customFormat="false" ht="12.75" hidden="false" customHeight="false" outlineLevel="0" collapsed="false">
      <c r="C24" s="13"/>
      <c r="D24" s="13"/>
      <c r="E24" s="13"/>
      <c r="F24" s="13"/>
      <c r="G24" s="13"/>
      <c r="H24" s="13"/>
      <c r="I24" s="26" t="s">
        <v>0</v>
      </c>
      <c r="J24" s="26" t="n">
        <f aca="false">IFERROR(VLOOKUP(I24,$I$6:$J$8,2,FALSE()),"Select freq")</f>
        <v>1</v>
      </c>
      <c r="K24" s="27" t="s">
        <v>62</v>
      </c>
      <c r="L24" s="28" t="n">
        <v>44743</v>
      </c>
      <c r="M24" s="29" t="n">
        <v>0.097</v>
      </c>
      <c r="N24" s="29"/>
      <c r="O24" s="29"/>
      <c r="P24" s="29"/>
      <c r="Q24" s="30" t="n">
        <v>29898.9533193519</v>
      </c>
      <c r="R24" s="30" t="n">
        <v>37420.7220823839</v>
      </c>
      <c r="S24" s="30" t="n">
        <v>30563.150146158</v>
      </c>
      <c r="T24" s="30" t="n">
        <v>38043.66</v>
      </c>
      <c r="U24" s="30" t="n">
        <v>54941.7783829373</v>
      </c>
      <c r="V24" s="30" t="n">
        <v>39973.8434245537</v>
      </c>
      <c r="W24" s="30" t="n">
        <v>28800</v>
      </c>
      <c r="X24" s="30" t="n">
        <v>28800</v>
      </c>
      <c r="Y24" s="30" t="n">
        <v>43859.1718165869</v>
      </c>
      <c r="Z24" s="30" t="n">
        <v>36000</v>
      </c>
      <c r="AA24" s="30" t="n">
        <v>52800</v>
      </c>
      <c r="AB24" s="30" t="n">
        <v>52800</v>
      </c>
      <c r="AC24" s="31" t="n">
        <f aca="false">+SUM(Q24:AB24)</f>
        <v>473901.279171972</v>
      </c>
      <c r="AD24" s="30" t="n">
        <v>31593.6</v>
      </c>
      <c r="AE24" s="30" t="n">
        <v>31593.6</v>
      </c>
      <c r="AF24" s="30" t="n">
        <v>31593.6</v>
      </c>
      <c r="AG24" s="30" t="n">
        <v>31593.6</v>
      </c>
      <c r="AH24" s="30" t="n">
        <v>31593.6</v>
      </c>
      <c r="AI24" s="30" t="n">
        <v>31593.6</v>
      </c>
      <c r="AJ24" s="30" t="n">
        <v>31593.6</v>
      </c>
      <c r="AK24" s="30" t="n">
        <v>31593.6</v>
      </c>
      <c r="AL24" s="30" t="n">
        <v>31593.6</v>
      </c>
      <c r="AM24" s="30" t="n">
        <v>31593.6</v>
      </c>
      <c r="AN24" s="30" t="n">
        <v>31593.6</v>
      </c>
      <c r="AO24" s="30" t="n">
        <v>31593.6</v>
      </c>
      <c r="AP24" s="31" t="n">
        <f aca="false">+SUM(AD24:AO24)</f>
        <v>379123.2</v>
      </c>
      <c r="AQ24" s="31" t="n">
        <f aca="false">+AP24-AC24</f>
        <v>-94778.0791719717</v>
      </c>
      <c r="AR24" s="32" t="n">
        <f aca="false">+AQ24/AC24</f>
        <v>-0.199995406928577</v>
      </c>
      <c r="AS24" s="13"/>
      <c r="AY24" s="3" t="n">
        <f aca="false">L24</f>
        <v>44743</v>
      </c>
      <c r="AZ24" s="33" t="n">
        <f aca="false">M24</f>
        <v>0.097</v>
      </c>
    </row>
    <row r="25" customFormat="false" ht="12.75" hidden="false" customHeight="false" outlineLevel="0" collapsed="false">
      <c r="C25" s="13"/>
      <c r="D25" s="13"/>
      <c r="E25" s="13"/>
      <c r="F25" s="13"/>
      <c r="G25" s="13"/>
      <c r="H25" s="13"/>
      <c r="I25" s="26" t="s">
        <v>0</v>
      </c>
      <c r="J25" s="26" t="n">
        <f aca="false">IFERROR(VLOOKUP(I25,$I$6:$J$8,2,FALSE()),"Select freq")</f>
        <v>1</v>
      </c>
      <c r="K25" s="27" t="s">
        <v>62</v>
      </c>
      <c r="L25" s="28" t="n">
        <v>44805</v>
      </c>
      <c r="M25" s="29" t="n">
        <v>0.097</v>
      </c>
      <c r="N25" s="29"/>
      <c r="O25" s="29"/>
      <c r="P25" s="29"/>
      <c r="Q25" s="30" t="n">
        <v>419468.760223224</v>
      </c>
      <c r="R25" s="30" t="n">
        <v>419468.760223224</v>
      </c>
      <c r="S25" s="30" t="n">
        <v>485700.669732153</v>
      </c>
      <c r="T25" s="30" t="n">
        <v>441546.063392867</v>
      </c>
      <c r="U25" s="30" t="n">
        <v>441546.063392867</v>
      </c>
      <c r="V25" s="30" t="n">
        <v>441257.330069863</v>
      </c>
      <c r="W25" s="30" t="n">
        <v>317913.165642864</v>
      </c>
      <c r="X25" s="30" t="n">
        <v>317913.165642864</v>
      </c>
      <c r="Y25" s="30" t="n">
        <v>484146.116482133</v>
      </c>
      <c r="Z25" s="30" t="n">
        <v>397391.45705358</v>
      </c>
      <c r="AA25" s="30" t="n">
        <v>582840.803678584</v>
      </c>
      <c r="AB25" s="30" t="n">
        <v>582840.803678584</v>
      </c>
      <c r="AC25" s="31" t="n">
        <f aca="false">+SUM(Q25:AB25)</f>
        <v>5332033.15921281</v>
      </c>
      <c r="AD25" s="30"/>
      <c r="AE25" s="30"/>
      <c r="AF25" s="30" t="n">
        <v>348750.742710222</v>
      </c>
      <c r="AG25" s="30" t="n">
        <v>348750.742710222</v>
      </c>
      <c r="AH25" s="30" t="n">
        <v>348750.742710222</v>
      </c>
      <c r="AI25" s="30" t="n">
        <v>348750.742710222</v>
      </c>
      <c r="AJ25" s="30" t="n">
        <v>348750.742710222</v>
      </c>
      <c r="AK25" s="30" t="n">
        <v>348750.742710222</v>
      </c>
      <c r="AL25" s="30" t="n">
        <v>348750.742710222</v>
      </c>
      <c r="AM25" s="30" t="n">
        <v>348750.742710222</v>
      </c>
      <c r="AN25" s="30" t="n">
        <v>348750.742710222</v>
      </c>
      <c r="AO25" s="30" t="n">
        <v>348750.742710222</v>
      </c>
      <c r="AP25" s="31" t="n">
        <f aca="false">+SUM(AD25:AO25)</f>
        <v>3487507.42710222</v>
      </c>
      <c r="AQ25" s="31" t="n">
        <f aca="false">+AP25-AC25</f>
        <v>-1844525.73211059</v>
      </c>
      <c r="AR25" s="32" t="n">
        <f aca="false">+AQ25/AC25</f>
        <v>-0.345932907210747</v>
      </c>
      <c r="AS25" s="13" t="s">
        <v>64</v>
      </c>
      <c r="AY25" s="3" t="n">
        <f aca="false">L25</f>
        <v>44805</v>
      </c>
      <c r="AZ25" s="33" t="n">
        <f aca="false">M25</f>
        <v>0.097</v>
      </c>
    </row>
    <row r="26" customFormat="false" ht="12.75" hidden="false" customHeight="false" outlineLevel="0" collapsed="false">
      <c r="C26" s="13"/>
      <c r="D26" s="13"/>
      <c r="E26" s="13"/>
      <c r="F26" s="13"/>
      <c r="G26" s="13"/>
      <c r="H26" s="13"/>
      <c r="I26" s="26" t="s">
        <v>0</v>
      </c>
      <c r="J26" s="26" t="n">
        <f aca="false">IFERROR(VLOOKUP(I26,$I$6:$J$8,2,FALSE()),"Select freq")</f>
        <v>1</v>
      </c>
      <c r="K26" s="27" t="s">
        <v>62</v>
      </c>
      <c r="L26" s="28" t="n">
        <v>44743</v>
      </c>
      <c r="M26" s="29" t="n">
        <v>0.197</v>
      </c>
      <c r="N26" s="29"/>
      <c r="O26" s="29"/>
      <c r="P26" s="29"/>
      <c r="Q26" s="30" t="n">
        <v>294903.196258815</v>
      </c>
      <c r="R26" s="30" t="n">
        <v>389951.328844281</v>
      </c>
      <c r="S26" s="30" t="n">
        <v>313433.821601998</v>
      </c>
      <c r="T26" s="30" t="n">
        <v>216627.049280066</v>
      </c>
      <c r="U26" s="30" t="n">
        <v>335796.207041231</v>
      </c>
      <c r="V26" s="30" t="n">
        <v>279816.903971876</v>
      </c>
      <c r="W26" s="30" t="n">
        <v>201600</v>
      </c>
      <c r="X26" s="30" t="n">
        <v>201600</v>
      </c>
      <c r="Y26" s="30" t="n">
        <v>307014.202716108</v>
      </c>
      <c r="Z26" s="30" t="n">
        <v>252000</v>
      </c>
      <c r="AA26" s="30" t="n">
        <v>369600</v>
      </c>
      <c r="AB26" s="30" t="n">
        <v>369600</v>
      </c>
      <c r="AC26" s="31" t="n">
        <f aca="false">+SUM(Q26:AB26)</f>
        <v>3531942.70971438</v>
      </c>
      <c r="AD26" s="30" t="n">
        <v>241315.2</v>
      </c>
      <c r="AE26" s="30" t="n">
        <v>241315.2</v>
      </c>
      <c r="AF26" s="30" t="n">
        <v>241315.2</v>
      </c>
      <c r="AG26" s="30" t="n">
        <v>241315.2</v>
      </c>
      <c r="AH26" s="30" t="n">
        <v>241315.2</v>
      </c>
      <c r="AI26" s="30" t="n">
        <v>241315.2</v>
      </c>
      <c r="AJ26" s="30" t="n">
        <v>241315.2</v>
      </c>
      <c r="AK26" s="30" t="n">
        <v>241315.2</v>
      </c>
      <c r="AL26" s="30" t="n">
        <v>241315.2</v>
      </c>
      <c r="AM26" s="30" t="n">
        <v>241315.2</v>
      </c>
      <c r="AN26" s="30" t="n">
        <v>241315.2</v>
      </c>
      <c r="AO26" s="30" t="n">
        <v>241315.2</v>
      </c>
      <c r="AP26" s="31" t="n">
        <f aca="false">+SUM(AD26:AO26)</f>
        <v>2895782.4</v>
      </c>
      <c r="AQ26" s="31" t="n">
        <f aca="false">+AP26-AC26</f>
        <v>-636160.309714377</v>
      </c>
      <c r="AR26" s="32" t="n">
        <f aca="false">+AQ26/AC26</f>
        <v>-0.180116259520479</v>
      </c>
      <c r="AS26" s="13" t="s">
        <v>65</v>
      </c>
      <c r="AY26" s="3" t="n">
        <f aca="false">L26</f>
        <v>44743</v>
      </c>
      <c r="AZ26" s="33" t="n">
        <f aca="false">M26</f>
        <v>0.197</v>
      </c>
    </row>
    <row r="27" customFormat="false" ht="12.75" hidden="false" customHeight="false" outlineLevel="0" collapsed="false">
      <c r="C27" s="13"/>
      <c r="D27" s="13"/>
      <c r="E27" s="13"/>
      <c r="F27" s="13"/>
      <c r="G27" s="13"/>
      <c r="H27" s="13"/>
      <c r="I27" s="26" t="s">
        <v>0</v>
      </c>
      <c r="J27" s="26" t="n">
        <f aca="false">IFERROR(VLOOKUP(I27,$I$6:$J$8,2,FALSE()),"Select freq")</f>
        <v>1</v>
      </c>
      <c r="K27" s="27" t="s">
        <v>62</v>
      </c>
      <c r="L27" s="28" t="n">
        <v>44743</v>
      </c>
      <c r="M27" s="29" t="n">
        <v>0.097</v>
      </c>
      <c r="N27" s="29"/>
      <c r="O27" s="29"/>
      <c r="P27" s="29"/>
      <c r="Q27" s="30" t="n">
        <v>60904.6089290726</v>
      </c>
      <c r="R27" s="30" t="n">
        <v>32749.2225056274</v>
      </c>
      <c r="S27" s="30" t="n">
        <v>52124.0196713521</v>
      </c>
      <c r="T27" s="30" t="n">
        <v>45973.7621340877</v>
      </c>
      <c r="U27" s="30" t="n">
        <v>30702.460589993</v>
      </c>
      <c r="V27" s="30" t="n">
        <v>49967.3042806921</v>
      </c>
      <c r="W27" s="30" t="n">
        <v>36000</v>
      </c>
      <c r="X27" s="30" t="n">
        <v>36000</v>
      </c>
      <c r="Y27" s="30" t="n">
        <v>54823.9647707336</v>
      </c>
      <c r="Z27" s="30" t="n">
        <v>45000</v>
      </c>
      <c r="AA27" s="30" t="n">
        <v>66000</v>
      </c>
      <c r="AB27" s="30" t="n">
        <v>66000</v>
      </c>
      <c r="AC27" s="31" t="n">
        <f aca="false">+SUM(Q27:AB27)</f>
        <v>576245.342881558</v>
      </c>
      <c r="AD27" s="30" t="n">
        <v>39492</v>
      </c>
      <c r="AE27" s="30" t="n">
        <v>39492</v>
      </c>
      <c r="AF27" s="30" t="n">
        <v>39492</v>
      </c>
      <c r="AG27" s="30" t="n">
        <v>39492</v>
      </c>
      <c r="AH27" s="30" t="n">
        <v>39492</v>
      </c>
      <c r="AI27" s="30" t="n">
        <v>39492</v>
      </c>
      <c r="AJ27" s="30" t="n">
        <v>39492</v>
      </c>
      <c r="AK27" s="30" t="n">
        <v>39492</v>
      </c>
      <c r="AL27" s="30" t="n">
        <v>39492</v>
      </c>
      <c r="AM27" s="30" t="n">
        <v>39492</v>
      </c>
      <c r="AN27" s="30" t="n">
        <v>39492</v>
      </c>
      <c r="AO27" s="30" t="n">
        <v>39492</v>
      </c>
      <c r="AP27" s="31" t="n">
        <f aca="false">+SUM(AD27:AO27)</f>
        <v>473904</v>
      </c>
      <c r="AQ27" s="31" t="n">
        <f aca="false">+AP27-AC27</f>
        <v>-102341.342881558</v>
      </c>
      <c r="AR27" s="32" t="n">
        <f aca="false">+AQ27/AC27</f>
        <v>-0.177600294988577</v>
      </c>
      <c r="AS27" s="13"/>
      <c r="AY27" s="3" t="n">
        <f aca="false">L27</f>
        <v>44743</v>
      </c>
      <c r="AZ27" s="33" t="n">
        <f aca="false">M27</f>
        <v>0.097</v>
      </c>
    </row>
    <row r="28" customFormat="false" ht="12.75" hidden="false" customHeight="false" outlineLevel="0" collapsed="false">
      <c r="C28" s="13"/>
      <c r="D28" s="13"/>
      <c r="E28" s="13"/>
      <c r="F28" s="13"/>
      <c r="G28" s="13"/>
      <c r="H28" s="13"/>
      <c r="I28" s="26" t="s">
        <v>0</v>
      </c>
      <c r="J28" s="26" t="n">
        <f aca="false">IFERROR(VLOOKUP(I28,$I$6:$J$8,2,FALSE()),"Select freq")</f>
        <v>1</v>
      </c>
      <c r="K28" s="27" t="s">
        <v>62</v>
      </c>
      <c r="L28" s="28" t="n">
        <v>44743</v>
      </c>
      <c r="M28" s="29" t="n">
        <v>0.097</v>
      </c>
      <c r="N28" s="29"/>
      <c r="O28" s="29"/>
      <c r="P28" s="29"/>
      <c r="Q28" s="30" t="n">
        <v>100951.784953993</v>
      </c>
      <c r="R28" s="30" t="n">
        <v>82628.1421142062</v>
      </c>
      <c r="S28" s="30" t="n">
        <v>109869.841717158</v>
      </c>
      <c r="T28" s="30" t="n">
        <v>191443.670867386</v>
      </c>
      <c r="U28" s="30" t="n">
        <v>80305.7651589173</v>
      </c>
      <c r="V28" s="30" t="n">
        <v>114924.799845592</v>
      </c>
      <c r="W28" s="30" t="n">
        <v>86774.4375486554</v>
      </c>
      <c r="X28" s="30" t="n">
        <v>86774.4375486554</v>
      </c>
      <c r="Y28" s="30" t="n">
        <v>132147.741865769</v>
      </c>
      <c r="Z28" s="30" t="n">
        <v>108468.046935819</v>
      </c>
      <c r="AA28" s="30" t="n">
        <v>159086.468839201</v>
      </c>
      <c r="AB28" s="30" t="n">
        <v>159086.468839201</v>
      </c>
      <c r="AC28" s="31" t="n">
        <f aca="false">+SUM(Q28:AB28)</f>
        <v>1412461.60623455</v>
      </c>
      <c r="AD28" s="30" t="n">
        <v>95191.5579908749</v>
      </c>
      <c r="AE28" s="30" t="n">
        <v>95191.5579908749</v>
      </c>
      <c r="AF28" s="30" t="n">
        <v>95191.5579908749</v>
      </c>
      <c r="AG28" s="30" t="n">
        <v>95191.5579908749</v>
      </c>
      <c r="AH28" s="30" t="n">
        <v>95191.5579908749</v>
      </c>
      <c r="AI28" s="30" t="n">
        <v>95191.5579908749</v>
      </c>
      <c r="AJ28" s="30" t="n">
        <v>95191.5579908749</v>
      </c>
      <c r="AK28" s="30" t="n">
        <v>95191.5579908749</v>
      </c>
      <c r="AL28" s="30" t="n">
        <v>95191.5579908749</v>
      </c>
      <c r="AM28" s="30" t="n">
        <v>95191.5579908749</v>
      </c>
      <c r="AN28" s="30" t="n">
        <v>95191.5579908749</v>
      </c>
      <c r="AO28" s="30" t="n">
        <v>95191.5579908749</v>
      </c>
      <c r="AP28" s="31" t="n">
        <f aca="false">+SUM(AD28:AO28)</f>
        <v>1142298.6958905</v>
      </c>
      <c r="AQ28" s="31" t="n">
        <f aca="false">+AP28-AC28</f>
        <v>-270162.910344054</v>
      </c>
      <c r="AR28" s="32" t="n">
        <f aca="false">+AQ28/AC28</f>
        <v>-0.191270976252781</v>
      </c>
      <c r="AS28" s="13"/>
      <c r="AY28" s="3" t="n">
        <f aca="false">L28</f>
        <v>44743</v>
      </c>
      <c r="AZ28" s="33" t="n">
        <f aca="false">M28</f>
        <v>0.097</v>
      </c>
    </row>
    <row r="29" customFormat="false" ht="12.75" hidden="false" customHeight="false" outlineLevel="0" collapsed="false">
      <c r="C29" s="13"/>
      <c r="D29" s="13"/>
      <c r="E29" s="13"/>
      <c r="F29" s="13"/>
      <c r="G29" s="13"/>
      <c r="H29" s="13"/>
      <c r="I29" s="26" t="s">
        <v>0</v>
      </c>
      <c r="J29" s="26" t="n">
        <f aca="false">IFERROR(VLOOKUP(I29,$I$6:$J$8,2,FALSE()),"Select freq")</f>
        <v>1</v>
      </c>
      <c r="K29" s="27" t="s">
        <v>62</v>
      </c>
      <c r="L29" s="28" t="n">
        <v>44743</v>
      </c>
      <c r="M29" s="29" t="n">
        <v>0.097</v>
      </c>
      <c r="N29" s="29"/>
      <c r="O29" s="29"/>
      <c r="P29" s="29"/>
      <c r="Q29" s="30" t="n">
        <v>324085.635659723</v>
      </c>
      <c r="R29" s="30" t="n">
        <v>200823.739974187</v>
      </c>
      <c r="S29" s="30" t="n">
        <v>390130.171931535</v>
      </c>
      <c r="T29" s="30" t="n">
        <v>359753.719847441</v>
      </c>
      <c r="U29" s="30" t="n">
        <v>218339.456140079</v>
      </c>
      <c r="V29" s="30" t="n">
        <v>309797.286540291</v>
      </c>
      <c r="W29" s="30" t="n">
        <v>361152</v>
      </c>
      <c r="X29" s="30" t="n">
        <v>281952</v>
      </c>
      <c r="Y29" s="30" t="n">
        <v>339908.581578548</v>
      </c>
      <c r="Z29" s="30" t="n">
        <v>378000</v>
      </c>
      <c r="AA29" s="30" t="n">
        <v>445302</v>
      </c>
      <c r="AB29" s="30" t="n">
        <v>445302</v>
      </c>
      <c r="AC29" s="31" t="n">
        <f aca="false">+SUM(Q29:AB29)</f>
        <v>4054546.5916718</v>
      </c>
      <c r="AD29" s="30" t="n">
        <v>396183.744</v>
      </c>
      <c r="AE29" s="30" t="n">
        <v>396183.744</v>
      </c>
      <c r="AF29" s="30" t="n">
        <v>396183.744</v>
      </c>
      <c r="AG29" s="30" t="n">
        <v>396183.744</v>
      </c>
      <c r="AH29" s="30" t="n">
        <v>396183.744</v>
      </c>
      <c r="AI29" s="30" t="n">
        <v>396183.744</v>
      </c>
      <c r="AJ29" s="30" t="n">
        <v>396183.744</v>
      </c>
      <c r="AK29" s="30" t="n">
        <v>396183.744</v>
      </c>
      <c r="AL29" s="30" t="n">
        <v>396183.744</v>
      </c>
      <c r="AM29" s="30" t="n">
        <v>396183.744</v>
      </c>
      <c r="AN29" s="30" t="n">
        <v>396183.744</v>
      </c>
      <c r="AO29" s="30" t="n">
        <v>396183.744</v>
      </c>
      <c r="AP29" s="31" t="n">
        <f aca="false">+SUM(AD29:AO29)</f>
        <v>4754204.928</v>
      </c>
      <c r="AQ29" s="31" t="n">
        <f aca="false">+AP29-AC29</f>
        <v>699658.336328195</v>
      </c>
      <c r="AR29" s="32" t="n">
        <f aca="false">+AQ29/AC29</f>
        <v>0.17256142468934</v>
      </c>
      <c r="AS29" s="13" t="s">
        <v>66</v>
      </c>
      <c r="AY29" s="3" t="n">
        <f aca="false">L29</f>
        <v>44743</v>
      </c>
      <c r="AZ29" s="33" t="n">
        <f aca="false">M29</f>
        <v>0.097</v>
      </c>
    </row>
    <row r="30" customFormat="false" ht="12.75" hidden="false" customHeight="false" outlineLevel="0" collapsed="false">
      <c r="C30" s="13"/>
      <c r="D30" s="13"/>
      <c r="E30" s="13"/>
      <c r="F30" s="13"/>
      <c r="G30" s="13"/>
      <c r="H30" s="13"/>
      <c r="I30" s="26"/>
      <c r="J30" s="26" t="str">
        <f aca="false">IFERROR(VLOOKUP(I30,$I$6:$J$8,2,FALSE()),"Select freq")</f>
        <v>Select freq</v>
      </c>
      <c r="K30" s="27"/>
      <c r="L30" s="28"/>
      <c r="M30" s="34"/>
      <c r="N30" s="34"/>
      <c r="O30" s="34"/>
      <c r="P30" s="34"/>
      <c r="Q30" s="30" t="n">
        <v>105652.975741845</v>
      </c>
      <c r="R30" s="30" t="n">
        <v>116633.555126344</v>
      </c>
      <c r="S30" s="30" t="n">
        <v>405059.516520991</v>
      </c>
      <c r="T30" s="30" t="n">
        <v>195308.81487709</v>
      </c>
      <c r="U30" s="30" t="n">
        <v>228262.428283959</v>
      </c>
      <c r="V30" s="30" t="n">
        <v>244880.356504887</v>
      </c>
      <c r="W30" s="30" t="n">
        <v>225637.163215935</v>
      </c>
      <c r="X30" s="30" t="n">
        <v>225637.163215935</v>
      </c>
      <c r="Y30" s="30" t="n">
        <v>249905.533073105</v>
      </c>
      <c r="Z30" s="30" t="n">
        <v>256375.326184397</v>
      </c>
      <c r="AA30" s="30" t="n">
        <v>282012.858802836</v>
      </c>
      <c r="AB30" s="30" t="n">
        <v>282012.858802836</v>
      </c>
      <c r="AC30" s="31" t="n">
        <f aca="false">+SUM(Q30:AB30)</f>
        <v>2817378.55035016</v>
      </c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1" t="n">
        <f aca="false">+SUM(AD30:AO30)</f>
        <v>0</v>
      </c>
      <c r="AQ30" s="31" t="n">
        <f aca="false">+AP30-AC30</f>
        <v>-2817378.55035016</v>
      </c>
      <c r="AR30" s="32" t="n">
        <f aca="false">+AQ30/AC30</f>
        <v>-1</v>
      </c>
      <c r="AS30" s="13"/>
      <c r="AY30" s="3" t="n">
        <f aca="false">L30</f>
        <v>0</v>
      </c>
      <c r="AZ30" s="33" t="n">
        <f aca="false">M30</f>
        <v>0</v>
      </c>
    </row>
    <row r="31" customFormat="false" ht="12.75" hidden="false" customHeight="false" outlineLevel="0" collapsed="false">
      <c r="C31" s="13"/>
      <c r="D31" s="13"/>
      <c r="E31" s="13"/>
      <c r="F31" s="13"/>
      <c r="G31" s="13"/>
      <c r="H31" s="13"/>
      <c r="I31" s="26" t="s">
        <v>0</v>
      </c>
      <c r="J31" s="26" t="n">
        <f aca="false">IFERROR(VLOOKUP(I31,$I$6:$J$8,2,FALSE()),"Select freq")</f>
        <v>1</v>
      </c>
      <c r="K31" s="27" t="s">
        <v>62</v>
      </c>
      <c r="L31" s="28" t="n">
        <v>44743</v>
      </c>
      <c r="M31" s="29" t="n">
        <v>0.097</v>
      </c>
      <c r="N31" s="29"/>
      <c r="O31" s="29"/>
      <c r="P31" s="29"/>
      <c r="Q31" s="30" t="n">
        <v>502269.663154333</v>
      </c>
      <c r="R31" s="30" t="n">
        <v>502269.663154333</v>
      </c>
      <c r="S31" s="30" t="n">
        <v>581575.39944186</v>
      </c>
      <c r="T31" s="30" t="n">
        <v>528704.908583509</v>
      </c>
      <c r="U31" s="30" t="n">
        <v>528704.908583509</v>
      </c>
      <c r="V31" s="30" t="n">
        <v>528359.180837753</v>
      </c>
      <c r="W31" s="30" t="n">
        <v>380667.534180127</v>
      </c>
      <c r="X31" s="30" t="n">
        <v>380667.534180127</v>
      </c>
      <c r="Y31" s="30" t="n">
        <v>579713.985645924</v>
      </c>
      <c r="Z31" s="30" t="n">
        <v>475834.417725159</v>
      </c>
      <c r="AA31" s="30" t="n">
        <v>697890.479330232</v>
      </c>
      <c r="AB31" s="30" t="n">
        <v>697890.479330232</v>
      </c>
      <c r="AC31" s="31" t="n">
        <f aca="false">+SUM(Q31:AB31)</f>
        <v>6384548.1541471</v>
      </c>
      <c r="AD31" s="30" t="n">
        <v>417592.2849956</v>
      </c>
      <c r="AE31" s="30" t="n">
        <v>417592.2849956</v>
      </c>
      <c r="AF31" s="30" t="n">
        <v>417592.2849956</v>
      </c>
      <c r="AG31" s="30" t="n">
        <v>417592.2849956</v>
      </c>
      <c r="AH31" s="30" t="n">
        <v>417592.2849956</v>
      </c>
      <c r="AI31" s="30" t="n">
        <v>417592.2849956</v>
      </c>
      <c r="AJ31" s="30" t="n">
        <v>417592.2849956</v>
      </c>
      <c r="AK31" s="30" t="n">
        <v>417592.2849956</v>
      </c>
      <c r="AL31" s="30" t="n">
        <v>417592.2849956</v>
      </c>
      <c r="AM31" s="30" t="n">
        <v>417592.2849956</v>
      </c>
      <c r="AN31" s="30" t="n">
        <v>417592.2849956</v>
      </c>
      <c r="AO31" s="30" t="n">
        <v>417592.2849956</v>
      </c>
      <c r="AP31" s="31" t="n">
        <f aca="false">+SUM(AD31:AO31)</f>
        <v>5011107.4199472</v>
      </c>
      <c r="AQ31" s="31" t="n">
        <f aca="false">+AP31-AC31</f>
        <v>-1373440.7341999</v>
      </c>
      <c r="AR31" s="32" t="n">
        <f aca="false">+AQ31/AC31</f>
        <v>-0.215119488652894</v>
      </c>
      <c r="AS31" s="13" t="s">
        <v>63</v>
      </c>
      <c r="AY31" s="3" t="n">
        <f aca="false">L31</f>
        <v>44743</v>
      </c>
      <c r="AZ31" s="33" t="n">
        <f aca="false">M31</f>
        <v>0.097</v>
      </c>
    </row>
    <row r="32" customFormat="false" ht="12.75" hidden="false" customHeight="false" outlineLevel="0" collapsed="false">
      <c r="C32" s="13"/>
      <c r="D32" s="13"/>
      <c r="E32" s="13"/>
      <c r="F32" s="13"/>
      <c r="G32" s="13"/>
      <c r="H32" s="13"/>
      <c r="I32" s="26" t="s">
        <v>0</v>
      </c>
      <c r="J32" s="26" t="n">
        <f aca="false">IFERROR(VLOOKUP(I32,$I$6:$J$8,2,FALSE()),"Select freq")</f>
        <v>1</v>
      </c>
      <c r="K32" s="27" t="s">
        <v>62</v>
      </c>
      <c r="L32" s="28" t="n">
        <v>44743</v>
      </c>
      <c r="M32" s="29" t="n">
        <v>0.097</v>
      </c>
      <c r="N32" s="29"/>
      <c r="O32" s="29"/>
      <c r="P32" s="29"/>
      <c r="Q32" s="30" t="n">
        <v>8914.11797272267</v>
      </c>
      <c r="R32" s="30" t="n">
        <v>28332.4614277009</v>
      </c>
      <c r="S32" s="30" t="n">
        <v>26602.2275979506</v>
      </c>
      <c r="T32" s="30" t="n">
        <v>18133.6559385533</v>
      </c>
      <c r="U32" s="30" t="n">
        <v>23451.1964325932</v>
      </c>
      <c r="V32" s="30" t="n">
        <v>24983.652140346</v>
      </c>
      <c r="W32" s="30" t="n">
        <v>19570.170271334</v>
      </c>
      <c r="X32" s="30" t="n">
        <v>19570.170271334</v>
      </c>
      <c r="Y32" s="30" t="n">
        <v>29803.1757086908</v>
      </c>
      <c r="Z32" s="30" t="n">
        <v>24462.7128391675</v>
      </c>
      <c r="AA32" s="30" t="n">
        <v>35878.6454974456</v>
      </c>
      <c r="AB32" s="30" t="n">
        <v>35878.6454974456</v>
      </c>
      <c r="AC32" s="31" t="n">
        <f aca="false">+SUM(Q32:AB32)</f>
        <v>295580.831595284</v>
      </c>
      <c r="AD32" s="30" t="n">
        <v>21468.4767876533</v>
      </c>
      <c r="AE32" s="30" t="n">
        <v>21468.4767876533</v>
      </c>
      <c r="AF32" s="30" t="n">
        <v>21468.4767876533</v>
      </c>
      <c r="AG32" s="30" t="n">
        <v>21468.4767876533</v>
      </c>
      <c r="AH32" s="30" t="n">
        <v>21468.4767876533</v>
      </c>
      <c r="AI32" s="30" t="n">
        <v>21468.4767876533</v>
      </c>
      <c r="AJ32" s="30" t="n">
        <v>21468.4767876533</v>
      </c>
      <c r="AK32" s="30" t="n">
        <v>21468.4767876533</v>
      </c>
      <c r="AL32" s="30" t="n">
        <v>21468.4767876533</v>
      </c>
      <c r="AM32" s="30" t="n">
        <v>21468.4767876533</v>
      </c>
      <c r="AN32" s="30" t="n">
        <v>21468.4767876533</v>
      </c>
      <c r="AO32" s="30" t="n">
        <v>21468.4767876533</v>
      </c>
      <c r="AP32" s="31" t="n">
        <f aca="false">+SUM(AD32:AO32)</f>
        <v>257621.72145184</v>
      </c>
      <c r="AQ32" s="31" t="n">
        <f aca="false">+AP32-AC32</f>
        <v>-37959.1101434442</v>
      </c>
      <c r="AR32" s="32" t="n">
        <f aca="false">+AQ32/AC32</f>
        <v>-0.128422096719109</v>
      </c>
      <c r="AS32" s="13"/>
      <c r="AY32" s="3" t="n">
        <f aca="false">L32</f>
        <v>44743</v>
      </c>
      <c r="AZ32" s="33" t="n">
        <f aca="false">M32</f>
        <v>0.097</v>
      </c>
    </row>
    <row r="33" customFormat="false" ht="12.75" hidden="false" customHeight="false" outlineLevel="0" collapsed="false">
      <c r="C33" s="13"/>
      <c r="D33" s="13"/>
      <c r="E33" s="13"/>
      <c r="F33" s="13"/>
      <c r="G33" s="13"/>
      <c r="H33" s="13"/>
      <c r="I33" s="26" t="s">
        <v>0</v>
      </c>
      <c r="J33" s="26" t="n">
        <f aca="false">IFERROR(VLOOKUP(I33,$I$6:$J$8,2,FALSE()),"Select freq")</f>
        <v>1</v>
      </c>
      <c r="K33" s="27" t="s">
        <v>62</v>
      </c>
      <c r="L33" s="28" t="n">
        <v>44743</v>
      </c>
      <c r="M33" s="29" t="n">
        <v>0.097</v>
      </c>
      <c r="N33" s="29"/>
      <c r="O33" s="29"/>
      <c r="P33" s="29"/>
      <c r="Q33" s="30" t="n">
        <v>75000</v>
      </c>
      <c r="R33" s="30" t="n">
        <v>75000</v>
      </c>
      <c r="S33" s="30" t="n">
        <v>75000</v>
      </c>
      <c r="T33" s="30" t="n">
        <v>75000</v>
      </c>
      <c r="U33" s="30" t="n">
        <v>75000</v>
      </c>
      <c r="V33" s="30" t="n">
        <v>75000</v>
      </c>
      <c r="W33" s="30" t="n">
        <v>75000</v>
      </c>
      <c r="X33" s="30" t="n">
        <v>75000</v>
      </c>
      <c r="Y33" s="30" t="n">
        <v>75000</v>
      </c>
      <c r="Z33" s="30" t="n">
        <v>75000</v>
      </c>
      <c r="AA33" s="30" t="n">
        <v>75000</v>
      </c>
      <c r="AB33" s="30" t="n">
        <v>75000</v>
      </c>
      <c r="AC33" s="31" t="n">
        <f aca="false">+SUM(Q33:AB33)</f>
        <v>900000</v>
      </c>
      <c r="AD33" s="30" t="n">
        <v>82275</v>
      </c>
      <c r="AE33" s="30" t="n">
        <v>82275</v>
      </c>
      <c r="AF33" s="30" t="n">
        <v>82275</v>
      </c>
      <c r="AG33" s="30" t="n">
        <v>82275</v>
      </c>
      <c r="AH33" s="30" t="n">
        <v>82275</v>
      </c>
      <c r="AI33" s="30" t="n">
        <v>82275</v>
      </c>
      <c r="AJ33" s="30" t="n">
        <v>82275</v>
      </c>
      <c r="AK33" s="30" t="n">
        <v>82275</v>
      </c>
      <c r="AL33" s="30" t="n">
        <v>82275</v>
      </c>
      <c r="AM33" s="30" t="n">
        <v>82275</v>
      </c>
      <c r="AN33" s="30" t="n">
        <v>82275</v>
      </c>
      <c r="AO33" s="30" t="n">
        <v>82275</v>
      </c>
      <c r="AP33" s="31" t="n">
        <f aca="false">+SUM(AD33:AO33)</f>
        <v>987300</v>
      </c>
      <c r="AQ33" s="31" t="n">
        <f aca="false">+AP33-AC33</f>
        <v>87300</v>
      </c>
      <c r="AR33" s="32" t="n">
        <f aca="false">+AQ33/AC33</f>
        <v>0.097</v>
      </c>
      <c r="AS33" s="13"/>
      <c r="AY33" s="3" t="n">
        <f aca="false">L33</f>
        <v>44743</v>
      </c>
      <c r="AZ33" s="33" t="n">
        <f aca="false">M33</f>
        <v>0.097</v>
      </c>
    </row>
    <row r="34" customFormat="false" ht="12.75" hidden="false" customHeight="false" outlineLevel="0" collapsed="false">
      <c r="C34" s="13"/>
      <c r="D34" s="13"/>
      <c r="E34" s="13"/>
      <c r="F34" s="13"/>
      <c r="G34" s="13"/>
      <c r="H34" s="13"/>
      <c r="I34" s="26" t="s">
        <v>0</v>
      </c>
      <c r="J34" s="26" t="n">
        <f aca="false">IFERROR(VLOOKUP(I34,$I$6:$J$8,2,FALSE()),"Select freq")</f>
        <v>1</v>
      </c>
      <c r="K34" s="27"/>
      <c r="L34" s="28" t="n">
        <v>44743</v>
      </c>
      <c r="M34" s="29" t="n">
        <v>0.08</v>
      </c>
      <c r="N34" s="29"/>
      <c r="O34" s="29"/>
      <c r="P34" s="29"/>
      <c r="Q34" s="30" t="n">
        <v>726571.075392352</v>
      </c>
      <c r="R34" s="30" t="n">
        <v>722989.285731718</v>
      </c>
      <c r="S34" s="30" t="n">
        <v>829308.055352238</v>
      </c>
      <c r="T34" s="30" t="n">
        <v>873268.320950836</v>
      </c>
      <c r="U34" s="30" t="n">
        <v>869159.053080205</v>
      </c>
      <c r="V34" s="30" t="n">
        <v>871358.498534294</v>
      </c>
      <c r="W34" s="30" t="n">
        <v>601904.572537534</v>
      </c>
      <c r="X34" s="30" t="n">
        <v>615475.130726533</v>
      </c>
      <c r="Y34" s="30" t="n">
        <v>846832.363869071</v>
      </c>
      <c r="Z34" s="30" t="n">
        <v>879880.964315874</v>
      </c>
      <c r="AA34" s="30" t="n">
        <v>1154791.26658907</v>
      </c>
      <c r="AB34" s="30" t="n">
        <v>1182432.85942767</v>
      </c>
      <c r="AC34" s="31" t="n">
        <f aca="false">+SUM(Q34:AB34)</f>
        <v>10173971.4465074</v>
      </c>
      <c r="AD34" s="30" t="n">
        <v>650056.938340536</v>
      </c>
      <c r="AE34" s="30" t="n">
        <v>650056.938340536</v>
      </c>
      <c r="AF34" s="30" t="n">
        <v>650056.938340536</v>
      </c>
      <c r="AG34" s="30" t="n">
        <v>650056.938340536</v>
      </c>
      <c r="AH34" s="30" t="n">
        <v>650056.938340536</v>
      </c>
      <c r="AI34" s="30" t="n">
        <v>650056.938340536</v>
      </c>
      <c r="AJ34" s="30" t="n">
        <v>650056.938340536</v>
      </c>
      <c r="AK34" s="30" t="n">
        <v>650056.938340536</v>
      </c>
      <c r="AL34" s="30" t="n">
        <v>650056.938340536</v>
      </c>
      <c r="AM34" s="30" t="n">
        <v>650056.938340536</v>
      </c>
      <c r="AN34" s="30" t="n">
        <v>650056.938340536</v>
      </c>
      <c r="AO34" s="30" t="n">
        <v>650056.938340536</v>
      </c>
      <c r="AP34" s="31" t="n">
        <f aca="false">+SUM(AD34:AO34)</f>
        <v>7800683.26008644</v>
      </c>
      <c r="AQ34" s="31" t="n">
        <f aca="false">+AP34-AC34</f>
        <v>-2373288.18642096</v>
      </c>
      <c r="AR34" s="32" t="n">
        <f aca="false">+AQ34/AC34</f>
        <v>-0.233270576676886</v>
      </c>
      <c r="AS34" s="13" t="s">
        <v>67</v>
      </c>
      <c r="AY34" s="3" t="n">
        <f aca="false">L34</f>
        <v>44743</v>
      </c>
      <c r="AZ34" s="33" t="n">
        <f aca="false">M34</f>
        <v>0.08</v>
      </c>
    </row>
    <row r="35" customFormat="false" ht="12.75" hidden="false" customHeight="false" outlineLevel="0" collapsed="false">
      <c r="C35" s="13"/>
      <c r="D35" s="13"/>
      <c r="E35" s="13"/>
      <c r="F35" s="13"/>
      <c r="G35" s="13"/>
      <c r="H35" s="13"/>
      <c r="I35" s="26"/>
      <c r="J35" s="26" t="str">
        <f aca="false">IFERROR(VLOOKUP(I35,$I$6:$J$8,2,FALSE()),"Select freq")</f>
        <v>Select freq</v>
      </c>
      <c r="K35" s="27"/>
      <c r="L35" s="28"/>
      <c r="M35" s="34"/>
      <c r="N35" s="34"/>
      <c r="O35" s="34"/>
      <c r="P35" s="34"/>
      <c r="Q35" s="30" t="n">
        <v>0</v>
      </c>
      <c r="R35" s="30" t="n">
        <v>149521.5545</v>
      </c>
      <c r="S35" s="30" t="n">
        <v>570633.334594997</v>
      </c>
      <c r="T35" s="30" t="n">
        <v>578832.47</v>
      </c>
      <c r="U35" s="30" t="n">
        <v>171153.174281808</v>
      </c>
      <c r="V35" s="30" t="n">
        <v>0</v>
      </c>
      <c r="W35" s="30" t="n">
        <v>0</v>
      </c>
      <c r="X35" s="30" t="n">
        <v>0</v>
      </c>
      <c r="Y35" s="30" t="n">
        <v>0</v>
      </c>
      <c r="Z35" s="30" t="n">
        <v>0</v>
      </c>
      <c r="AA35" s="30" t="n">
        <v>0</v>
      </c>
      <c r="AB35" s="30" t="n">
        <v>0</v>
      </c>
      <c r="AC35" s="31" t="n">
        <f aca="false">+SUM(Q35:AB35)</f>
        <v>1470140.53337681</v>
      </c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1" t="n">
        <f aca="false">+SUM(AD35:AO35)</f>
        <v>0</v>
      </c>
      <c r="AQ35" s="31" t="n">
        <f aca="false">+AP35-AC35</f>
        <v>-1470140.53337681</v>
      </c>
      <c r="AS35" s="13" t="s">
        <v>68</v>
      </c>
      <c r="AY35" s="3" t="n">
        <f aca="false">L35</f>
        <v>0</v>
      </c>
      <c r="AZ35" s="33" t="n">
        <f aca="false">M35</f>
        <v>0</v>
      </c>
    </row>
    <row r="36" customFormat="false" ht="12.75" hidden="false" customHeight="false" outlineLevel="0" collapsed="false">
      <c r="C36" s="13"/>
      <c r="D36" s="13"/>
      <c r="E36" s="13"/>
      <c r="F36" s="13"/>
      <c r="G36" s="13"/>
      <c r="H36" s="13"/>
      <c r="I36" s="26" t="s">
        <v>0</v>
      </c>
      <c r="J36" s="26" t="n">
        <f aca="false">IFERROR(VLOOKUP(I36,$I$6:$J$8,2,FALSE()),"Select freq")</f>
        <v>1</v>
      </c>
      <c r="K36" s="27" t="s">
        <v>62</v>
      </c>
      <c r="L36" s="28" t="n">
        <v>44713</v>
      </c>
      <c r="M36" s="34" t="n">
        <v>0.097</v>
      </c>
      <c r="N36" s="34"/>
      <c r="O36" s="34"/>
      <c r="P36" s="34"/>
      <c r="Q36" s="30" t="n">
        <v>591064.120608185</v>
      </c>
      <c r="R36" s="30" t="n">
        <v>527500.699269832</v>
      </c>
      <c r="S36" s="30" t="n">
        <v>529859.89856301</v>
      </c>
      <c r="T36" s="30" t="n">
        <v>518171.225875914</v>
      </c>
      <c r="U36" s="30" t="n">
        <v>401212.947418848</v>
      </c>
      <c r="V36" s="30" t="n">
        <v>529002.121734271</v>
      </c>
      <c r="W36" s="30" t="n">
        <v>433816.269826027</v>
      </c>
      <c r="X36" s="30" t="n">
        <v>394540.786760297</v>
      </c>
      <c r="Y36" s="30" t="n">
        <v>510686.788480568</v>
      </c>
      <c r="Z36" s="30" t="n">
        <v>398218.021040772</v>
      </c>
      <c r="AA36" s="30" t="n">
        <v>475296.932221372</v>
      </c>
      <c r="AB36" s="30" t="n">
        <v>440668.113681892</v>
      </c>
      <c r="AC36" s="31" t="n">
        <f aca="false">+SUM(Q36:AB36)</f>
        <v>5750037.92548099</v>
      </c>
      <c r="AD36" s="30" t="n">
        <v>475896.447999152</v>
      </c>
      <c r="AE36" s="30" t="n">
        <v>475896.447999152</v>
      </c>
      <c r="AF36" s="30" t="n">
        <v>475896.447999152</v>
      </c>
      <c r="AG36" s="30" t="n">
        <v>475896.447999152</v>
      </c>
      <c r="AH36" s="30" t="n">
        <v>475896.447999152</v>
      </c>
      <c r="AI36" s="30" t="n">
        <v>475896.447999152</v>
      </c>
      <c r="AJ36" s="30" t="n">
        <v>475896.447999152</v>
      </c>
      <c r="AK36" s="30" t="n">
        <v>475896.447999152</v>
      </c>
      <c r="AL36" s="30" t="n">
        <v>475896.447999152</v>
      </c>
      <c r="AM36" s="30" t="n">
        <v>475896.447999152</v>
      </c>
      <c r="AN36" s="30" t="n">
        <v>475896.447999152</v>
      </c>
      <c r="AO36" s="30" t="n">
        <v>475896.447999152</v>
      </c>
      <c r="AP36" s="31" t="n">
        <f aca="false">+SUM(AD36:AO36)</f>
        <v>5710757.37598982</v>
      </c>
      <c r="AQ36" s="31" t="n">
        <f aca="false">+AP36-AC36</f>
        <v>-39280.5494911661</v>
      </c>
      <c r="AR36" s="32"/>
      <c r="AS36" s="13" t="s">
        <v>69</v>
      </c>
      <c r="AY36" s="3" t="n">
        <f aca="false">L36</f>
        <v>44713</v>
      </c>
      <c r="AZ36" s="33" t="n">
        <f aca="false">M36</f>
        <v>0.097</v>
      </c>
    </row>
    <row r="37" customFormat="false" ht="12.75" hidden="false" customHeight="false" outlineLevel="0" collapsed="false">
      <c r="C37" s="13"/>
      <c r="D37" s="13"/>
      <c r="E37" s="13"/>
      <c r="F37" s="13"/>
      <c r="G37" s="13"/>
      <c r="H37" s="13"/>
      <c r="I37" s="26"/>
      <c r="J37" s="26" t="str">
        <f aca="false">IFERROR(VLOOKUP(I37,$I$6:$J$8,2,FALSE()),"Select freq")</f>
        <v>Select freq</v>
      </c>
      <c r="K37" s="27"/>
      <c r="L37" s="28"/>
      <c r="M37" s="34"/>
      <c r="N37" s="34"/>
      <c r="O37" s="34"/>
      <c r="P37" s="34"/>
      <c r="Q37" s="30" t="n">
        <v>25956.2841530055</v>
      </c>
      <c r="R37" s="30" t="n">
        <v>25956.2841530055</v>
      </c>
      <c r="S37" s="30" t="n">
        <v>30054.6448087432</v>
      </c>
      <c r="T37" s="30" t="n">
        <v>27322.4043715847</v>
      </c>
      <c r="U37" s="30" t="n">
        <v>27322.4043715847</v>
      </c>
      <c r="V37" s="30" t="n">
        <v>27304.5378583017</v>
      </c>
      <c r="W37" s="30" t="n">
        <v>24590.1639344262</v>
      </c>
      <c r="X37" s="30" t="n">
        <v>24590.1639344262</v>
      </c>
      <c r="Y37" s="30" t="n">
        <v>27234.9551767181</v>
      </c>
      <c r="Z37" s="30" t="n">
        <v>27322.4043715847</v>
      </c>
      <c r="AA37" s="30" t="n">
        <v>30054.6448087432</v>
      </c>
      <c r="AB37" s="30" t="n">
        <v>30054.6448087432</v>
      </c>
      <c r="AC37" s="31" t="n">
        <f aca="false">+SUM(Q37:AB37)</f>
        <v>327763.536750867</v>
      </c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1" t="n">
        <f aca="false">+SUM(AD37:AO37)</f>
        <v>0</v>
      </c>
      <c r="AQ37" s="31" t="n">
        <f aca="false">+AP37-AC37</f>
        <v>-327763.536750867</v>
      </c>
      <c r="AS37" s="13"/>
      <c r="AY37" s="3" t="n">
        <f aca="false">L37</f>
        <v>0</v>
      </c>
      <c r="AZ37" s="33" t="n">
        <f aca="false">M37</f>
        <v>0</v>
      </c>
    </row>
    <row r="38" customFormat="false" ht="12.75" hidden="false" customHeight="false" outlineLevel="0" collapsed="false">
      <c r="C38" s="13"/>
      <c r="D38" s="13"/>
      <c r="E38" s="13"/>
      <c r="F38" s="13"/>
      <c r="G38" s="13"/>
      <c r="H38" s="13"/>
      <c r="I38" s="26"/>
      <c r="J38" s="26" t="str">
        <f aca="false">IFERROR(VLOOKUP(I38,$I$6:$J$8,2,FALSE()),"Select freq")</f>
        <v>Select freq</v>
      </c>
      <c r="K38" s="27"/>
      <c r="L38" s="28"/>
      <c r="M38" s="34"/>
      <c r="N38" s="34"/>
      <c r="O38" s="34"/>
      <c r="P38" s="34"/>
      <c r="Q38" s="30" t="n">
        <v>522364.891037282</v>
      </c>
      <c r="R38" s="30" t="n">
        <v>414289.29439167</v>
      </c>
      <c r="S38" s="30" t="n">
        <v>674181.412105463</v>
      </c>
      <c r="T38" s="30" t="n">
        <v>516118.73153588</v>
      </c>
      <c r="U38" s="30" t="n">
        <v>493229.643368769</v>
      </c>
      <c r="V38" s="30" t="n">
        <v>391980.670054353</v>
      </c>
      <c r="W38" s="30" t="n">
        <v>376293.171487841</v>
      </c>
      <c r="X38" s="30" t="n">
        <v>488163.855676605</v>
      </c>
      <c r="Y38" s="30" t="n">
        <v>540668.7021539</v>
      </c>
      <c r="Z38" s="30" t="n">
        <v>542404.730183572</v>
      </c>
      <c r="AA38" s="30" t="n">
        <v>596645.387730176</v>
      </c>
      <c r="AB38" s="30" t="n">
        <v>596644.394580467</v>
      </c>
      <c r="AC38" s="31" t="n">
        <f aca="false">+SUM(Q38:AB38)</f>
        <v>6152984.88430598</v>
      </c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1" t="n">
        <f aca="false">+SUM(AD38:AO38)</f>
        <v>0</v>
      </c>
      <c r="AQ38" s="31" t="n">
        <f aca="false">+AP38-AC38</f>
        <v>-6152984.88430598</v>
      </c>
      <c r="AS38" s="13" t="s">
        <v>70</v>
      </c>
      <c r="AY38" s="3" t="n">
        <f aca="false">L38</f>
        <v>0</v>
      </c>
      <c r="AZ38" s="33" t="n">
        <f aca="false">M38</f>
        <v>0</v>
      </c>
    </row>
    <row r="39" customFormat="false" ht="12.75" hidden="false" customHeight="false" outlineLevel="0" collapsed="false">
      <c r="C39" s="13"/>
      <c r="D39" s="13"/>
      <c r="E39" s="13"/>
      <c r="F39" s="13"/>
      <c r="G39" s="13"/>
      <c r="H39" s="13"/>
      <c r="I39" s="26"/>
      <c r="J39" s="26" t="str">
        <f aca="false">IFERROR(VLOOKUP(I39,$I$6:$J$8,2,FALSE()),"Select freq")</f>
        <v>Select freq</v>
      </c>
      <c r="K39" s="27"/>
      <c r="L39" s="28"/>
      <c r="M39" s="34"/>
      <c r="N39" s="34"/>
      <c r="O39" s="34"/>
      <c r="P39" s="34"/>
      <c r="Q39" s="30" t="n">
        <v>68797.8361582329</v>
      </c>
      <c r="R39" s="30" t="n">
        <v>63257.68</v>
      </c>
      <c r="S39" s="30" t="n">
        <v>61760</v>
      </c>
      <c r="T39" s="30" t="n">
        <v>77200</v>
      </c>
      <c r="U39" s="30" t="n">
        <v>77200</v>
      </c>
      <c r="V39" s="30" t="n">
        <v>77200</v>
      </c>
      <c r="W39" s="30" t="n">
        <v>77200</v>
      </c>
      <c r="X39" s="30" t="n">
        <v>77200</v>
      </c>
      <c r="Y39" s="30" t="n">
        <v>77200</v>
      </c>
      <c r="Z39" s="30" t="n">
        <v>77200</v>
      </c>
      <c r="AA39" s="30" t="n">
        <v>77200</v>
      </c>
      <c r="AB39" s="30" t="n">
        <v>84688.4</v>
      </c>
      <c r="AC39" s="31" t="n">
        <f aca="false">+SUM(Q39:AB39)</f>
        <v>896103.916158233</v>
      </c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1" t="n">
        <f aca="false">+SUM(AD39:AO39)</f>
        <v>0</v>
      </c>
      <c r="AQ39" s="31" t="n">
        <f aca="false">+AP39-AC39</f>
        <v>-896103.916158233</v>
      </c>
      <c r="AS39" s="13" t="s">
        <v>71</v>
      </c>
      <c r="AY39" s="3" t="n">
        <f aca="false">L39</f>
        <v>0</v>
      </c>
      <c r="AZ39" s="33" t="n">
        <f aca="false">M39</f>
        <v>0</v>
      </c>
    </row>
    <row r="40" customFormat="false" ht="12.75" hidden="false" customHeight="false" outlineLevel="0" collapsed="false">
      <c r="C40" s="13"/>
      <c r="D40" s="13"/>
      <c r="E40" s="13"/>
      <c r="F40" s="13"/>
      <c r="G40" s="13"/>
      <c r="H40" s="13"/>
      <c r="I40" s="26" t="s">
        <v>0</v>
      </c>
      <c r="J40" s="26" t="n">
        <f aca="false">IFERROR(VLOOKUP(I40,$I$6:$J$8,2,FALSE()),"Select freq")</f>
        <v>1</v>
      </c>
      <c r="K40" s="27" t="s">
        <v>62</v>
      </c>
      <c r="L40" s="28" t="n">
        <v>44652</v>
      </c>
      <c r="M40" s="34" t="n">
        <v>0.2421</v>
      </c>
      <c r="N40" s="34"/>
      <c r="O40" s="34"/>
      <c r="P40" s="34"/>
      <c r="Q40" s="30" t="n">
        <v>2673389.26829267</v>
      </c>
      <c r="R40" s="30" t="n">
        <v>2667395.12195121</v>
      </c>
      <c r="S40" s="30" t="n">
        <v>2663399.02439024</v>
      </c>
      <c r="T40" s="30" t="n">
        <v>2673389.26829267</v>
      </c>
      <c r="U40" s="30" t="n">
        <v>2683379.51219511</v>
      </c>
      <c r="V40" s="30" t="n">
        <v>1982563.90243902</v>
      </c>
      <c r="W40" s="30" t="n">
        <v>1982563.90243902</v>
      </c>
      <c r="X40" s="30" t="n">
        <v>1982563.90243902</v>
      </c>
      <c r="Y40" s="30" t="n">
        <v>1982563.90243902</v>
      </c>
      <c r="Z40" s="30" t="n">
        <v>1982563.90243902</v>
      </c>
      <c r="AA40" s="30" t="n">
        <v>1982563.90243902</v>
      </c>
      <c r="AB40" s="30" t="n">
        <v>1982563.90243902</v>
      </c>
      <c r="AC40" s="31" t="n">
        <f aca="false">+SUM(Q40:AB40)</f>
        <v>27238899.5121951</v>
      </c>
      <c r="AD40" s="30" t="n">
        <v>2462542.62321951</v>
      </c>
      <c r="AE40" s="30" t="n">
        <v>2462542.62321951</v>
      </c>
      <c r="AF40" s="30" t="n">
        <v>2462542.62321951</v>
      </c>
      <c r="AG40" s="30" t="n">
        <v>2462542.62321951</v>
      </c>
      <c r="AH40" s="30" t="n">
        <v>2462542.62321951</v>
      </c>
      <c r="AI40" s="30" t="n">
        <v>2462542.62321951</v>
      </c>
      <c r="AJ40" s="30" t="n">
        <v>2462542.62321951</v>
      </c>
      <c r="AK40" s="30" t="n">
        <v>2462542.62321951</v>
      </c>
      <c r="AL40" s="30" t="n">
        <v>2462542.62321951</v>
      </c>
      <c r="AM40" s="30" t="n">
        <v>2462542.62321951</v>
      </c>
      <c r="AN40" s="30" t="n">
        <v>2462542.62321951</v>
      </c>
      <c r="AO40" s="30" t="n">
        <v>2462542.62321951</v>
      </c>
      <c r="AP40" s="31" t="n">
        <f aca="false">+SUM(AD40:AO40)</f>
        <v>29550511.4786341</v>
      </c>
      <c r="AQ40" s="31" t="n">
        <f aca="false">+AP40-AC40</f>
        <v>2311611.96643906</v>
      </c>
      <c r="AR40" s="32"/>
      <c r="AS40" s="13" t="s">
        <v>72</v>
      </c>
      <c r="AY40" s="3" t="n">
        <f aca="false">L40</f>
        <v>44652</v>
      </c>
      <c r="AZ40" s="33" t="n">
        <f aca="false">M40</f>
        <v>0.2421</v>
      </c>
    </row>
    <row r="41" customFormat="false" ht="12.75" hidden="false" customHeight="false" outlineLevel="0" collapsed="false">
      <c r="C41" s="13"/>
      <c r="D41" s="13"/>
      <c r="E41" s="13"/>
      <c r="F41" s="13"/>
      <c r="G41" s="13"/>
      <c r="H41" s="13"/>
      <c r="I41" s="26" t="s">
        <v>0</v>
      </c>
      <c r="J41" s="26" t="n">
        <f aca="false">IFERROR(VLOOKUP(I41,$I$6:$J$8,2,FALSE()),"Select freq")</f>
        <v>1</v>
      </c>
      <c r="K41" s="27" t="s">
        <v>62</v>
      </c>
      <c r="L41" s="28" t="n">
        <v>44743</v>
      </c>
      <c r="M41" s="34" t="n">
        <v>0.097</v>
      </c>
      <c r="N41" s="34"/>
      <c r="O41" s="34"/>
      <c r="P41" s="34"/>
      <c r="Q41" s="30" t="n">
        <v>175779.166903855</v>
      </c>
      <c r="R41" s="30" t="n">
        <v>133046.719155394</v>
      </c>
      <c r="S41" s="30" t="n">
        <v>180839.038640335</v>
      </c>
      <c r="T41" s="30" t="n">
        <v>212677.325088328</v>
      </c>
      <c r="U41" s="30" t="n">
        <v>232124.39539348</v>
      </c>
      <c r="V41" s="30" t="n">
        <v>163113.455978419</v>
      </c>
      <c r="W41" s="30" t="n">
        <v>146898.169206722</v>
      </c>
      <c r="X41" s="30" t="n">
        <v>146898.169206722</v>
      </c>
      <c r="Y41" s="30" t="n">
        <v>162697.778858073</v>
      </c>
      <c r="Z41" s="30" t="n">
        <v>163220.188007469</v>
      </c>
      <c r="AA41" s="30" t="n">
        <v>179542.206808216</v>
      </c>
      <c r="AB41" s="30" t="n">
        <v>179542.206808216</v>
      </c>
      <c r="AC41" s="31" t="n">
        <f aca="false">+SUM(Q41:AB41)</f>
        <v>2076378.82005523</v>
      </c>
      <c r="AD41" s="30" t="n">
        <v>161147.291619774</v>
      </c>
      <c r="AE41" s="30" t="n">
        <v>161147.291619774</v>
      </c>
      <c r="AF41" s="30" t="n">
        <v>161147.291619774</v>
      </c>
      <c r="AG41" s="30" t="n">
        <v>161147.291619774</v>
      </c>
      <c r="AH41" s="30" t="n">
        <v>161147.291619774</v>
      </c>
      <c r="AI41" s="30" t="n">
        <v>161147.291619774</v>
      </c>
      <c r="AJ41" s="30" t="n">
        <v>161147.291619774</v>
      </c>
      <c r="AK41" s="30" t="n">
        <v>161147.291619774</v>
      </c>
      <c r="AL41" s="30" t="n">
        <v>161147.291619774</v>
      </c>
      <c r="AM41" s="30" t="n">
        <v>161147.291619774</v>
      </c>
      <c r="AN41" s="30" t="n">
        <v>161147.291619774</v>
      </c>
      <c r="AO41" s="30" t="n">
        <v>161147.291619774</v>
      </c>
      <c r="AP41" s="31" t="n">
        <f aca="false">+SUM(AD41:AO41)</f>
        <v>1933767.49943729</v>
      </c>
      <c r="AQ41" s="31" t="n">
        <f aca="false">+AP41-AC41</f>
        <v>-142611.320617938</v>
      </c>
      <c r="AR41" s="33"/>
      <c r="AS41" s="13" t="s">
        <v>73</v>
      </c>
      <c r="AY41" s="3" t="n">
        <f aca="false">L41</f>
        <v>44743</v>
      </c>
      <c r="AZ41" s="33" t="n">
        <f aca="false">M41</f>
        <v>0.097</v>
      </c>
    </row>
    <row r="42" customFormat="false" ht="12.75" hidden="false" customHeight="false" outlineLevel="0" collapsed="false">
      <c r="C42" s="13"/>
      <c r="D42" s="13"/>
      <c r="E42" s="13"/>
      <c r="F42" s="13"/>
      <c r="G42" s="13"/>
      <c r="H42" s="13"/>
      <c r="I42" s="26"/>
      <c r="J42" s="26" t="str">
        <f aca="false">IFERROR(VLOOKUP(I42,$I$6:$J$8,2,FALSE()),"Select freq")</f>
        <v>Select freq</v>
      </c>
      <c r="K42" s="27"/>
      <c r="L42" s="28"/>
      <c r="M42" s="34"/>
      <c r="N42" s="34"/>
      <c r="O42" s="34"/>
      <c r="P42" s="34"/>
      <c r="Q42" s="30" t="n">
        <v>0</v>
      </c>
      <c r="R42" s="30" t="n">
        <v>272810.518155007</v>
      </c>
      <c r="S42" s="30" t="n">
        <v>315885.86312685</v>
      </c>
      <c r="T42" s="30" t="n">
        <v>287168.966478955</v>
      </c>
      <c r="U42" s="30" t="n">
        <v>287168.966478955</v>
      </c>
      <c r="V42" s="30" t="n">
        <v>286981.182560516</v>
      </c>
      <c r="W42" s="30" t="n">
        <v>258452.069831059</v>
      </c>
      <c r="X42" s="30" t="n">
        <v>258452.069831059</v>
      </c>
      <c r="Y42" s="30" t="n">
        <v>286249.841845276</v>
      </c>
      <c r="Z42" s="30" t="n">
        <v>287168.966478955</v>
      </c>
      <c r="AA42" s="30" t="n">
        <v>315885.86312685</v>
      </c>
      <c r="AB42" s="30" t="n">
        <v>346526.791850155</v>
      </c>
      <c r="AC42" s="31" t="n">
        <f aca="false">+SUM(Q42:AB42)</f>
        <v>3202751.09976364</v>
      </c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1" t="n">
        <f aca="false">+SUM(AD42:AO42)</f>
        <v>0</v>
      </c>
      <c r="AQ42" s="31" t="n">
        <f aca="false">+AP42-AC42</f>
        <v>-3202751.09976364</v>
      </c>
      <c r="AS42" s="13" t="s">
        <v>74</v>
      </c>
      <c r="AY42" s="3" t="n">
        <f aca="false">L42</f>
        <v>0</v>
      </c>
      <c r="AZ42" s="33" t="n">
        <f aca="false">M42</f>
        <v>0</v>
      </c>
    </row>
  </sheetData>
  <autoFilter ref="C13:AV42"/>
  <mergeCells count="4">
    <mergeCell ref="Q12:AB12"/>
    <mergeCell ref="AD12:AO12"/>
    <mergeCell ref="BA12:BL12"/>
    <mergeCell ref="BM12:BX12"/>
  </mergeCells>
  <conditionalFormatting sqref="AD14:AO42">
    <cfRule type="expression" priority="2" aboveAverage="0" equalAverage="0" bottom="0" percent="0" rank="0" text="" dxfId="6">
      <formula>BA14=1</formula>
    </cfRule>
  </conditionalFormatting>
  <printOptions headings="false" gridLines="false" gridLinesSet="true" horizontalCentered="false" verticalCentered="false"/>
  <pageMargins left="0.25" right="0.25" top="0.370138888888889" bottom="0.409722222222222" header="0.2" footer="0.229861111111111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&amp;R&amp;"Arial,Regular"&amp;8 DRAFT</oddHeader>
    <oddFooter>&amp;L&amp;"Arial,Regular"&amp;8 &amp;F&amp;C&amp;"Arial,Regular"&amp;8 Confidential&amp;R&amp;"Arial,Regular"&amp;8 Page: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2022-06-22T14:07:09Z</dcterms:created>
  <dc:creator>Hamad Haque</dc:creator>
  <dc:description/>
  <dc:language>en-US</dc:language>
  <cp:lastModifiedBy>Hamad Haque</cp:lastModifiedBy>
  <dcterms:modified xsi:type="dcterms:W3CDTF">2026-04-20T19:52:43Z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
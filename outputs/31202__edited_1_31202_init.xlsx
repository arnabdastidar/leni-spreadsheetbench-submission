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OMINA" sheetId="1" state="visible" r:id="rId2"/>
  </sheets>
  <definedNames>
    <definedName function="false" hidden="false" name="listaEmpleados" vbProcedure="false">tblEmpleados[NOMBRE]</definedName>
    <definedName function="false" hidden="false" name="listaProveedores" vbProcedure="false">'f:\zhipuwork\excel公式标注\excel任务二质检\418_谢蓉_24\31202\balance gastos 2024.xlsm'!tblproveedores[nombre fiscal]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<sst xmlns="http://schemas.openxmlformats.org/spreadsheetml/2006/main" count="96" uniqueCount="43">
  <si>
    <t xml:space="preserve">DATE</t>
  </si>
  <si>
    <t xml:space="preserve">MONTH</t>
  </si>
  <si>
    <t xml:space="preserve">WEEK</t>
  </si>
  <si>
    <t xml:space="preserve">WORKER</t>
  </si>
  <si>
    <t xml:space="preserve">DAILY WAGE</t>
  </si>
  <si>
    <t xml:space="preserve">DAYS WORKED</t>
  </si>
  <si>
    <t xml:space="preserve">DEDUCTIONS</t>
  </si>
  <si>
    <t xml:space="preserve">ADDITIONS</t>
  </si>
  <si>
    <t xml:space="preserve">TOTAL</t>
  </si>
  <si>
    <t xml:space="preserve">DEBT</t>
  </si>
  <si>
    <t xml:space="preserve">EMPLEADOS ACTIVOS</t>
  </si>
  <si>
    <t xml:space="preserve">DAWSON ALEXANDRO BROWN MAGAÑA</t>
  </si>
  <si>
    <t xml:space="preserve">ID</t>
  </si>
  <si>
    <t xml:space="preserve">NOMBRE</t>
  </si>
  <si>
    <t xml:space="preserve">PUESTO</t>
  </si>
  <si>
    <t xml:space="preserve">SALARIO</t>
  </si>
  <si>
    <t xml:space="preserve">DEPARTAMENTO</t>
  </si>
  <si>
    <t xml:space="preserve">FECHA INGRESO</t>
  </si>
  <si>
    <t xml:space="preserve">DEDUCCIONES</t>
  </si>
  <si>
    <t xml:space="preserve">GABRIELA BOJORQUEZ BOJORQUEZ</t>
  </si>
  <si>
    <t xml:space="preserve">ADMINISTRADOR</t>
  </si>
  <si>
    <t xml:space="preserve">ADMINISTRATIVO</t>
  </si>
  <si>
    <t xml:space="preserve">JAIRO MANUEL LOPEZ ESPINOZA</t>
  </si>
  <si>
    <t xml:space="preserve">AUXILIAR ADMINISTRATIVO</t>
  </si>
  <si>
    <t xml:space="preserve">GREGORIO COTA ESCOBAR</t>
  </si>
  <si>
    <t xml:space="preserve">GERENTE DE PRODUCCION</t>
  </si>
  <si>
    <t xml:space="preserve">PRODUCCION</t>
  </si>
  <si>
    <t xml:space="preserve">MARTIN PARRA</t>
  </si>
  <si>
    <t xml:space="preserve">TECNICO PARAMETRISTRA</t>
  </si>
  <si>
    <t xml:space="preserve">JOSE VALDEZ</t>
  </si>
  <si>
    <t xml:space="preserve">RESPONSABLE DE BOMBEO</t>
  </si>
  <si>
    <t xml:space="preserve">CESAR RUIZ</t>
  </si>
  <si>
    <t xml:space="preserve">CHAROLERO</t>
  </si>
  <si>
    <t xml:space="preserve">JESUS MAGAÑA</t>
  </si>
  <si>
    <t xml:space="preserve">POBLACIONISTA</t>
  </si>
  <si>
    <t xml:space="preserve">RUBEN LEYSON</t>
  </si>
  <si>
    <t xml:space="preserve">SOLDADOR</t>
  </si>
  <si>
    <t xml:space="preserve">SEGURIDAD</t>
  </si>
  <si>
    <t xml:space="preserve">APOYO</t>
  </si>
  <si>
    <t xml:space="preserve">GUADALUPE RUIZ</t>
  </si>
  <si>
    <t xml:space="preserve">LIMPIEZA</t>
  </si>
  <si>
    <t xml:space="preserve">Total</t>
  </si>
  <si>
    <t xml:space="preserve">REGRESAR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</si>
</sst>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\$* #,##0.00_-;&quot;-$&quot;* #,##0.00_-;_-\$* \-??_-;_-@_-"/>
    <numFmt numFmtId="166" formatCode="m/d/yyyy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563C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Empleados" displayName="tblEmpleados" ref="L2:R13" headerRowCount="1" totalsRowCount="0" totalsRowShown="0">
  <autoFilter ref="L2:R13"/>
  <tableColumns count="7">
    <tableColumn id="1" name="ID"/>
    <tableColumn id="2" name="NOMBRE"/>
    <tableColumn id="3" name="PUESTO"/>
    <tableColumn id="4" name="SALARIO"/>
    <tableColumn id="5" name="DEPARTAMENTO"/>
    <tableColumn id="6" name="FECHA INGRESO"/>
    <tableColumn id="7" name="DEDUCCIONES"/>
  </tableColumns>
</table>
</file>

<file path=xl/tables/table2.xml><?xml version="1.0" encoding="utf-8"?>
<table xmlns="http://schemas.openxmlformats.org/spreadsheetml/2006/main" id="2" name="tblNomina" displayName="tblNomina" ref="A1:J48" headerRowCount="1" totalsRowCount="1" totalsRowShown="1">
  <autoFilter ref="A1:J48"/>
  <tableColumns count="10">
    <tableColumn id="1" name="DATE"/>
    <tableColumn id="2" name="MONTH"/>
    <tableColumn id="3" name="WEEK"/>
    <tableColumn id="4" name="WORKER"/>
    <tableColumn id="5" name="DAILY WAGE"/>
    <tableColumn id="6" name="DAYS WORKED"/>
    <tableColumn id="7" name="DEDUCTIONS"/>
    <tableColumn id="8" name="ADDITIONS"/>
    <tableColumn id="9" name="TOTAL"/>
    <tableColumn id="10" name="DEBT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0078125" defaultRowHeight="13.5" zeroHeight="false" outlineLevelRow="0" outlineLevelCol="0"/>
  <cols>
    <col collapsed="false" customWidth="true" hidden="false" outlineLevel="0" max="3" min="3" style="0" width="9.57"/>
    <col collapsed="false" customWidth="true" hidden="false" outlineLevel="0" max="4" min="4" style="0" width="37.43"/>
    <col collapsed="false" customWidth="true" hidden="false" outlineLevel="0" max="5" min="5" style="0" width="19.28"/>
    <col collapsed="false" customWidth="true" hidden="false" outlineLevel="0" max="6" min="6" style="1" width="15.28"/>
    <col collapsed="false" customWidth="true" hidden="false" outlineLevel="0" max="7" min="7" style="1" width="15.71"/>
    <col collapsed="false" customWidth="true" hidden="false" outlineLevel="0" max="8" min="8" style="1" width="11.57"/>
    <col collapsed="false" customWidth="true" hidden="false" outlineLevel="0" max="9" min="9" style="1" width="12.57"/>
    <col collapsed="false" customWidth="true" hidden="false" outlineLevel="0" max="13" min="13" style="0" width="37.43"/>
    <col collapsed="false" customWidth="true" hidden="false" outlineLevel="0" max="14" min="14" style="0" width="25.42"/>
    <col collapsed="false" customWidth="true" hidden="false" outlineLevel="0" max="15" min="15" style="0" width="12.29"/>
    <col collapsed="false" customWidth="true" hidden="false" outlineLevel="0" max="16" min="16" style="0" width="19.7"/>
    <col collapsed="false" customWidth="true" hidden="false" outlineLevel="0" max="18" min="18" style="0" width="16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0" t="s">
        <v>10</v>
      </c>
      <c r="O1" s="1"/>
    </row>
    <row r="2" customFormat="false" ht="13.5" hidden="false" customHeight="true" outlineLevel="0" collapsed="false">
      <c r="A2" s="3" t="n">
        <v>45297</v>
      </c>
      <c r="B2" s="0" t="str">
        <f aca="false">TEXT(tblNomina[[#This Row],[DATE]],"mmmm")</f>
        <v>January</v>
      </c>
      <c r="C2" s="0" t="n">
        <f aca="false">WEEKNUM(tblNomina[[#This Row],[DATE]],1)</f>
        <v>1</v>
      </c>
      <c r="D2" s="2" t="s">
        <v>11</v>
      </c>
      <c r="E2" s="1" t="n">
        <f aca="false">(VLOOKUP(tblNomina[[#This Row],[WORKER]],tblEmpleados[[NOMBRE]:[FECHA INGRESO]],3,FALSE())-VLOOKUP(tblNomina[[#This Row],[WORKER]],tblEmpleados[[NOMBRE]:[DEDUCCIONES]],6,FALSE()))/7</f>
        <v>1071.42857142857</v>
      </c>
      <c r="F2" s="1" t="n">
        <v>6</v>
      </c>
      <c r="G2" s="1" t="n">
        <v>0</v>
      </c>
      <c r="H2" s="1" t="n">
        <v>0</v>
      </c>
      <c r="I2" s="1" t="n">
        <f aca="false">(tblNomina[[#This Row],[DAYS WORKED]]+(tblNomina[[#This Row],[DAYS WORKED]]/6))*tblNomina[[#This Row],[DAILY WAGE]]-tblNomina[[#This Row],[DEDUCTIONS]]+tblNomina[[#This Row],[ADDITIONS]]</f>
        <v>7500</v>
      </c>
      <c r="J2" s="1" t="n">
        <v>0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2" t="s">
        <v>17</v>
      </c>
      <c r="R2" s="2" t="s">
        <v>18</v>
      </c>
    </row>
    <row r="3" customFormat="false" ht="13.5" hidden="false" customHeight="false" outlineLevel="0" collapsed="false">
      <c r="A3" s="3" t="n">
        <v>45297</v>
      </c>
      <c r="B3" s="0" t="str">
        <f aca="false">TEXT(tblNomina[[#This Row],[DATE]],"mmmm")</f>
        <v>January</v>
      </c>
      <c r="C3" s="0" t="n">
        <f aca="false">WEEKNUM(tblNomina[[#This Row],[DATE]],1)</f>
        <v>1</v>
      </c>
      <c r="D3" s="2" t="s">
        <v>19</v>
      </c>
      <c r="E3" s="1" t="n">
        <f aca="false">(VLOOKUP(tblNomina[[#This Row],[WORKER]],tblEmpleados[[NOMBRE]:[FECHA INGRESO]],3,FALSE())-VLOOKUP(tblNomina[[#This Row],[WORKER]],tblEmpleados[[NOMBRE]:[DEDUCCIONES]],6,FALSE()))/7</f>
        <v>285.714285714286</v>
      </c>
      <c r="F3" s="1" t="n">
        <v>6</v>
      </c>
      <c r="G3" s="1" t="n">
        <v>0</v>
      </c>
      <c r="H3" s="1" t="n">
        <v>0</v>
      </c>
      <c r="I3" s="1" t="n">
        <f aca="false">(tblNomina[[#This Row],[DAYS WORKED]]+(tblNomina[[#This Row],[DAYS WORKED]]/6))*tblNomina[[#This Row],[DAILY WAGE]]-tblNomina[[#This Row],[DEDUCTIONS]]+tblNomina[[#This Row],[ADDITIONS]]</f>
        <v>2000</v>
      </c>
      <c r="J3" s="1" t="n">
        <v>0</v>
      </c>
      <c r="L3" s="0" t="n">
        <f aca="false">ROW()-ROW(tblEmpleados[[#Headers],[ID]])</f>
        <v>1</v>
      </c>
      <c r="M3" s="0" t="s">
        <v>11</v>
      </c>
      <c r="N3" s="0" t="s">
        <v>20</v>
      </c>
      <c r="O3" s="1" t="n">
        <v>7500</v>
      </c>
      <c r="P3" s="1" t="s">
        <v>21</v>
      </c>
      <c r="Q3" s="3" t="n">
        <v>45292</v>
      </c>
      <c r="R3" s="1" t="n">
        <v>0</v>
      </c>
    </row>
    <row r="4" customFormat="false" ht="13.5" hidden="false" customHeight="false" outlineLevel="0" collapsed="false">
      <c r="A4" s="3" t="n">
        <v>45297</v>
      </c>
      <c r="B4" s="0" t="str">
        <f aca="false">TEXT(tblNomina[[#This Row],[DATE]],"mmmm")</f>
        <v>January</v>
      </c>
      <c r="C4" s="0" t="n">
        <f aca="false">WEEKNUM(tblNomina[[#This Row],[DATE]],1)</f>
        <v>1</v>
      </c>
      <c r="D4" s="2" t="s">
        <v>22</v>
      </c>
      <c r="E4" s="1" t="n">
        <f aca="false">(VLOOKUP(tblNomina[[#This Row],[WORKER]],tblEmpleados[[NOMBRE]:[FECHA INGRESO]],3,FALSE())-VLOOKUP(tblNomina[[#This Row],[WORKER]],tblEmpleados[[NOMBRE]:[DEDUCCIONES]],6,FALSE()))/7</f>
        <v>542.857142857143</v>
      </c>
      <c r="F4" s="1" t="n">
        <v>6</v>
      </c>
      <c r="G4" s="1" t="n">
        <v>0</v>
      </c>
      <c r="H4" s="1" t="n">
        <v>0</v>
      </c>
      <c r="I4" s="1" t="n">
        <f aca="false">(tblNomina[[#This Row],[DAYS WORKED]]+(tblNomina[[#This Row],[DAYS WORKED]]/6))*tblNomina[[#This Row],[DAILY WAGE]]-tblNomina[[#This Row],[DEDUCTIONS]]+tblNomina[[#This Row],[ADDITIONS]]</f>
        <v>3800</v>
      </c>
      <c r="J4" s="1" t="n">
        <v>0</v>
      </c>
      <c r="L4" s="0" t="n">
        <f aca="false">ROW()-ROW(tblEmpleados[[#Headers],[ID]])</f>
        <v>2</v>
      </c>
      <c r="M4" s="0" t="s">
        <v>19</v>
      </c>
      <c r="N4" s="0" t="s">
        <v>23</v>
      </c>
      <c r="O4" s="1" t="n">
        <v>2000</v>
      </c>
      <c r="P4" s="1" t="s">
        <v>21</v>
      </c>
      <c r="Q4" s="3" t="n">
        <v>45292</v>
      </c>
      <c r="R4" s="1" t="n">
        <v>0</v>
      </c>
    </row>
    <row r="5" customFormat="false" ht="13.5" hidden="false" customHeight="false" outlineLevel="0" collapsed="false">
      <c r="A5" s="3" t="n">
        <v>45297</v>
      </c>
      <c r="B5" s="0" t="str">
        <f aca="false">TEXT(tblNomina[[#This Row],[DATE]],"mmmm")</f>
        <v>January</v>
      </c>
      <c r="C5" s="0" t="n">
        <f aca="false">WEEKNUM(tblNomina[[#This Row],[DATE]],1)</f>
        <v>1</v>
      </c>
      <c r="D5" s="2" t="s">
        <v>24</v>
      </c>
      <c r="E5" s="1" t="n">
        <f aca="false">(VLOOKUP(tblNomina[[#This Row],[WORKER]],tblEmpleados[[NOMBRE]:[FECHA INGRESO]],3,FALSE())-VLOOKUP(tblNomina[[#This Row],[WORKER]],tblEmpleados[[NOMBRE]:[DEDUCCIONES]],6,FALSE()))/7</f>
        <v>314.285714285714</v>
      </c>
      <c r="F5" s="1" t="n">
        <v>6</v>
      </c>
      <c r="G5" s="1" t="n">
        <v>0</v>
      </c>
      <c r="H5" s="1" t="n">
        <v>0</v>
      </c>
      <c r="I5" s="1" t="n">
        <f aca="false">(tblNomina[[#This Row],[DAYS WORKED]]+(tblNomina[[#This Row],[DAYS WORKED]]/6))*tblNomina[[#This Row],[DAILY WAGE]]-tblNomina[[#This Row],[DEDUCTIONS]]+tblNomina[[#This Row],[ADDITIONS]]</f>
        <v>2200</v>
      </c>
      <c r="J5" s="1" t="n">
        <v>0</v>
      </c>
      <c r="L5" s="0" t="n">
        <f aca="false">ROW()-ROW(tblEmpleados[[#Headers],[ID]])</f>
        <v>3</v>
      </c>
      <c r="M5" s="0" t="s">
        <v>22</v>
      </c>
      <c r="N5" s="0" t="s">
        <v>25</v>
      </c>
      <c r="O5" s="1" t="n">
        <v>4250</v>
      </c>
      <c r="P5" s="1" t="s">
        <v>26</v>
      </c>
      <c r="Q5" s="3" t="n">
        <v>45292</v>
      </c>
      <c r="R5" s="1" t="n">
        <v>450</v>
      </c>
    </row>
    <row r="6" customFormat="false" ht="13.5" hidden="false" customHeight="false" outlineLevel="0" collapsed="false">
      <c r="A6" s="3" t="n">
        <v>45297</v>
      </c>
      <c r="B6" s="0" t="str">
        <f aca="false">TEXT(tblNomina[[#This Row],[DATE]],"mmmm")</f>
        <v>January</v>
      </c>
      <c r="C6" s="0" t="n">
        <f aca="false">WEEKNUM(tblNomina[[#This Row],[DATE]],1)</f>
        <v>1</v>
      </c>
      <c r="D6" s="2" t="s">
        <v>27</v>
      </c>
      <c r="E6" s="1" t="n">
        <f aca="false">(VLOOKUP(tblNomina[[#This Row],[WORKER]],tblEmpleados[[NOMBRE]:[FECHA INGRESO]],3,FALSE())-VLOOKUP(tblNomina[[#This Row],[WORKER]],tblEmpleados[[NOMBRE]:[DEDUCCIONES]],6,FALSE()))/7</f>
        <v>257.142857142857</v>
      </c>
      <c r="F6" s="1" t="n">
        <v>6</v>
      </c>
      <c r="G6" s="1" t="n">
        <v>0</v>
      </c>
      <c r="H6" s="1" t="n">
        <v>0</v>
      </c>
      <c r="I6" s="1" t="n">
        <f aca="false">(tblNomina[[#This Row],[DAYS WORKED]]+(tblNomina[[#This Row],[DAYS WORKED]]/6))*tblNomina[[#This Row],[DAILY WAGE]]-tblNomina[[#This Row],[DEDUCTIONS]]+tblNomina[[#This Row],[ADDITIONS]]</f>
        <v>1800</v>
      </c>
      <c r="J6" s="1" t="n">
        <v>0</v>
      </c>
      <c r="L6" s="0" t="n">
        <f aca="false">ROW()-ROW(tblEmpleados[[#Headers],[ID]])</f>
        <v>4</v>
      </c>
      <c r="M6" s="0" t="s">
        <v>24</v>
      </c>
      <c r="N6" s="0" t="s">
        <v>28</v>
      </c>
      <c r="O6" s="1" t="n">
        <v>2200</v>
      </c>
      <c r="P6" s="1" t="s">
        <v>26</v>
      </c>
      <c r="Q6" s="3" t="n">
        <v>45292</v>
      </c>
      <c r="R6" s="1" t="n">
        <v>0</v>
      </c>
    </row>
    <row r="7" customFormat="false" ht="13.5" hidden="false" customHeight="false" outlineLevel="0" collapsed="false">
      <c r="A7" s="3" t="n">
        <v>45297</v>
      </c>
      <c r="B7" s="0" t="str">
        <f aca="false">TEXT(tblNomina[[#This Row],[DATE]],"mmmm")</f>
        <v>January</v>
      </c>
      <c r="C7" s="0" t="n">
        <f aca="false">WEEKNUM(tblNomina[[#This Row],[DATE]],1)</f>
        <v>1</v>
      </c>
      <c r="D7" s="2" t="s">
        <v>29</v>
      </c>
      <c r="E7" s="1" t="n">
        <f aca="false">(VLOOKUP(tblNomina[[#This Row],[WORKER]],tblEmpleados[[NOMBRE]:[FECHA INGRESO]],3,FALSE())-VLOOKUP(tblNomina[[#This Row],[WORKER]],tblEmpleados[[NOMBRE]:[DEDUCCIONES]],6,FALSE()))/7</f>
        <v>242.857142857143</v>
      </c>
      <c r="F7" s="1" t="n">
        <v>6</v>
      </c>
      <c r="G7" s="1" t="n">
        <v>0</v>
      </c>
      <c r="H7" s="1" t="n">
        <v>0</v>
      </c>
      <c r="I7" s="1" t="n">
        <f aca="false">(tblNomina[[#This Row],[DAYS WORKED]]+(tblNomina[[#This Row],[DAYS WORKED]]/6))*tblNomina[[#This Row],[DAILY WAGE]]-tblNomina[[#This Row],[DEDUCTIONS]]+tblNomina[[#This Row],[ADDITIONS]]</f>
        <v>1700</v>
      </c>
      <c r="J7" s="1" t="n">
        <v>0</v>
      </c>
      <c r="L7" s="0" t="n">
        <f aca="false">ROW()-ROW(tblEmpleados[[#Headers],[ID]])</f>
        <v>5</v>
      </c>
      <c r="M7" s="0" t="s">
        <v>27</v>
      </c>
      <c r="N7" s="0" t="s">
        <v>30</v>
      </c>
      <c r="O7" s="1" t="n">
        <v>1800</v>
      </c>
      <c r="P7" s="1" t="s">
        <v>26</v>
      </c>
      <c r="Q7" s="3" t="n">
        <v>45292</v>
      </c>
      <c r="R7" s="1" t="n">
        <v>0</v>
      </c>
    </row>
    <row r="8" customFormat="false" ht="13.5" hidden="false" customHeight="false" outlineLevel="0" collapsed="false">
      <c r="A8" s="3" t="n">
        <v>45297</v>
      </c>
      <c r="B8" s="0" t="str">
        <f aca="false">TEXT(tblNomina[[#This Row],[DATE]],"mmmm")</f>
        <v>January</v>
      </c>
      <c r="C8" s="0" t="n">
        <f aca="false">WEEKNUM(tblNomina[[#This Row],[DATE]],1)</f>
        <v>1</v>
      </c>
      <c r="D8" s="2" t="s">
        <v>31</v>
      </c>
      <c r="E8" s="1" t="n">
        <f aca="false">(VLOOKUP(tblNomina[[#This Row],[WORKER]],tblEmpleados[[NOMBRE]:[FECHA INGRESO]],3,FALSE())-VLOOKUP(tblNomina[[#This Row],[WORKER]],tblEmpleados[[NOMBRE]:[DEDUCCIONES]],6,FALSE()))/7</f>
        <v>242.857142857143</v>
      </c>
      <c r="F8" s="1" t="n">
        <v>6</v>
      </c>
      <c r="G8" s="1" t="n">
        <v>0</v>
      </c>
      <c r="H8" s="1" t="n">
        <v>0</v>
      </c>
      <c r="I8" s="1" t="n">
        <f aca="false">(tblNomina[[#This Row],[DAYS WORKED]]+(tblNomina[[#This Row],[DAYS WORKED]]/6))*tblNomina[[#This Row],[DAILY WAGE]]-tblNomina[[#This Row],[DEDUCTIONS]]+tblNomina[[#This Row],[ADDITIONS]]</f>
        <v>1700</v>
      </c>
      <c r="J8" s="1" t="n">
        <v>0</v>
      </c>
      <c r="L8" s="0" t="n">
        <f aca="false">ROW()-ROW(tblEmpleados[[#Headers],[ID]])</f>
        <v>6</v>
      </c>
      <c r="M8" s="0" t="s">
        <v>29</v>
      </c>
      <c r="N8" s="0" t="s">
        <v>32</v>
      </c>
      <c r="O8" s="1" t="n">
        <v>1700</v>
      </c>
      <c r="P8" s="1" t="s">
        <v>26</v>
      </c>
      <c r="Q8" s="3" t="n">
        <v>45292</v>
      </c>
      <c r="R8" s="1" t="n">
        <v>0</v>
      </c>
    </row>
    <row r="9" customFormat="false" ht="13.5" hidden="false" customHeight="false" outlineLevel="0" collapsed="false">
      <c r="A9" s="3" t="n">
        <v>45297</v>
      </c>
      <c r="B9" s="0" t="str">
        <f aca="false">TEXT(tblNomina[[#This Row],[DATE]],"mmmm")</f>
        <v>January</v>
      </c>
      <c r="C9" s="0" t="n">
        <f aca="false">WEEKNUM(tblNomina[[#This Row],[DATE]],1)</f>
        <v>1</v>
      </c>
      <c r="D9" s="2" t="s">
        <v>33</v>
      </c>
      <c r="E9" s="1" t="n">
        <f aca="false">(VLOOKUP(tblNomina[[#This Row],[WORKER]],tblEmpleados[[NOMBRE]:[FECHA INGRESO]],3,FALSE())-VLOOKUP(tblNomina[[#This Row],[WORKER]],tblEmpleados[[NOMBRE]:[DEDUCCIONES]],6,FALSE()))/7</f>
        <v>500</v>
      </c>
      <c r="F9" s="1" t="n">
        <v>6</v>
      </c>
      <c r="G9" s="1" t="n">
        <v>0</v>
      </c>
      <c r="H9" s="1" t="n">
        <v>0</v>
      </c>
      <c r="I9" s="1" t="n">
        <f aca="false">(tblNomina[[#This Row],[DAYS WORKED]]+(tblNomina[[#This Row],[DAYS WORKED]]/6))*tblNomina[[#This Row],[DAILY WAGE]]-tblNomina[[#This Row],[DEDUCTIONS]]+tblNomina[[#This Row],[ADDITIONS]]</f>
        <v>3500</v>
      </c>
      <c r="J9" s="1" t="n">
        <v>0</v>
      </c>
      <c r="L9" s="0" t="n">
        <f aca="false">ROW()-ROW(tblEmpleados[[#Headers],[ID]])</f>
        <v>7</v>
      </c>
      <c r="M9" s="0" t="s">
        <v>31</v>
      </c>
      <c r="N9" s="0" t="s">
        <v>34</v>
      </c>
      <c r="O9" s="1" t="n">
        <v>1700</v>
      </c>
      <c r="P9" s="1" t="s">
        <v>26</v>
      </c>
      <c r="Q9" s="3" t="n">
        <v>45292</v>
      </c>
      <c r="R9" s="1" t="n">
        <v>0</v>
      </c>
    </row>
    <row r="10" customFormat="false" ht="13.5" hidden="false" customHeight="false" outlineLevel="0" collapsed="false">
      <c r="A10" s="3" t="n">
        <v>45303</v>
      </c>
      <c r="B10" s="0" t="str">
        <f aca="false">TEXT(tblNomina[[#This Row],[DATE]],"mmmm")</f>
        <v>January</v>
      </c>
      <c r="C10" s="0" t="n">
        <f aca="false">WEEKNUM(tblNomina[[#This Row],[DATE]],1)</f>
        <v>2</v>
      </c>
      <c r="D10" s="2" t="s">
        <v>11</v>
      </c>
      <c r="E10" s="1" t="n">
        <f aca="false">(VLOOKUP(tblNomina[[#This Row],[WORKER]],tblEmpleados[[NOMBRE]:[FECHA INGRESO]],3,FALSE())-VLOOKUP(tblNomina[[#This Row],[WORKER]],tblEmpleados[[NOMBRE]:[DEDUCCIONES]],6,FALSE()))/7</f>
        <v>1071.42857142857</v>
      </c>
      <c r="F10" s="1" t="n">
        <v>6</v>
      </c>
      <c r="G10" s="1" t="n">
        <v>0</v>
      </c>
      <c r="H10" s="1" t="n">
        <v>0</v>
      </c>
      <c r="I10" s="1" t="n">
        <f aca="false">(tblNomina[[#This Row],[DAYS WORKED]]+(tblNomina[[#This Row],[DAYS WORKED]]/6))*tblNomina[[#This Row],[DAILY WAGE]]-tblNomina[[#This Row],[DEDUCTIONS]]+tblNomina[[#This Row],[ADDITIONS]]</f>
        <v>7500</v>
      </c>
      <c r="J10" s="1" t="n">
        <v>0</v>
      </c>
      <c r="L10" s="0" t="n">
        <f aca="false">ROW()-ROW(tblEmpleados[[#Headers],[ID]])</f>
        <v>8</v>
      </c>
      <c r="M10" s="0" t="s">
        <v>35</v>
      </c>
      <c r="N10" s="0" t="s">
        <v>36</v>
      </c>
      <c r="O10" s="1" t="n">
        <v>2500</v>
      </c>
      <c r="P10" s="1" t="s">
        <v>26</v>
      </c>
      <c r="Q10" s="3" t="n">
        <v>45292</v>
      </c>
      <c r="R10" s="1" t="n">
        <v>0</v>
      </c>
    </row>
    <row r="11" customFormat="false" ht="13.5" hidden="false" customHeight="false" outlineLevel="0" collapsed="false">
      <c r="A11" s="3" t="n">
        <v>45303</v>
      </c>
      <c r="B11" s="0" t="str">
        <f aca="false">TEXT(tblNomina[[#This Row],[DATE]],"mmmm")</f>
        <v>January</v>
      </c>
      <c r="C11" s="0" t="n">
        <f aca="false">WEEKNUM(tblNomina[[#This Row],[DATE]],1)</f>
        <v>2</v>
      </c>
      <c r="D11" s="2" t="s">
        <v>19</v>
      </c>
      <c r="E11" s="1" t="n">
        <f aca="false">(VLOOKUP(tblNomina[[#This Row],[WORKER]],tblEmpleados[[NOMBRE]:[FECHA INGRESO]],3,FALSE())-VLOOKUP(tblNomina[[#This Row],[WORKER]],tblEmpleados[[NOMBRE]:[DEDUCCIONES]],6,FALSE()))/7</f>
        <v>285.714285714286</v>
      </c>
      <c r="F11" s="1" t="n">
        <v>6</v>
      </c>
      <c r="G11" s="1" t="n">
        <v>0</v>
      </c>
      <c r="H11" s="1" t="n">
        <v>0</v>
      </c>
      <c r="I11" s="1" t="n">
        <f aca="false">(tblNomina[[#This Row],[DAYS WORKED]]+(tblNomina[[#This Row],[DAYS WORKED]]/6))*tblNomina[[#This Row],[DAILY WAGE]]-tblNomina[[#This Row],[DEDUCTIONS]]+tblNomina[[#This Row],[ADDITIONS]]</f>
        <v>2000</v>
      </c>
      <c r="J11" s="1" t="n">
        <v>0</v>
      </c>
      <c r="L11" s="0" t="n">
        <f aca="false">ROW()-ROW(tblEmpleados[[#Headers],[ID]])</f>
        <v>9</v>
      </c>
      <c r="M11" s="0" t="s">
        <v>33</v>
      </c>
      <c r="N11" s="0" t="s">
        <v>37</v>
      </c>
      <c r="O11" s="1" t="n">
        <v>3500</v>
      </c>
      <c r="P11" s="1" t="s">
        <v>38</v>
      </c>
      <c r="Q11" s="3" t="n">
        <v>45292</v>
      </c>
      <c r="R11" s="1" t="n">
        <v>0</v>
      </c>
    </row>
    <row r="12" customFormat="false" ht="13.5" hidden="false" customHeight="false" outlineLevel="0" collapsed="false">
      <c r="A12" s="3" t="n">
        <v>45303</v>
      </c>
      <c r="B12" s="0" t="str">
        <f aca="false">TEXT(tblNomina[[#This Row],[DATE]],"mmmm")</f>
        <v>January</v>
      </c>
      <c r="C12" s="0" t="n">
        <f aca="false">WEEKNUM(tblNomina[[#This Row],[DATE]],1)</f>
        <v>2</v>
      </c>
      <c r="D12" s="2" t="s">
        <v>22</v>
      </c>
      <c r="E12" s="1" t="n">
        <f aca="false">(VLOOKUP(tblNomina[[#This Row],[WORKER]],tblEmpleados[[NOMBRE]:[FECHA INGRESO]],3,FALSE())-VLOOKUP(tblNomina[[#This Row],[WORKER]],tblEmpleados[[NOMBRE]:[DEDUCCIONES]],6,FALSE()))/7</f>
        <v>542.857142857143</v>
      </c>
      <c r="F12" s="1" t="n">
        <v>6</v>
      </c>
      <c r="G12" s="1" t="n">
        <v>0</v>
      </c>
      <c r="H12" s="1" t="n">
        <v>0</v>
      </c>
      <c r="I12" s="1" t="n">
        <f aca="false">(tblNomina[[#This Row],[DAYS WORKED]]+(tblNomina[[#This Row],[DAYS WORKED]]/6))*tblNomina[[#This Row],[DAILY WAGE]]-tblNomina[[#This Row],[DEDUCTIONS]]+tblNomina[[#This Row],[ADDITIONS]]</f>
        <v>3800</v>
      </c>
      <c r="J12" s="1" t="n">
        <v>0</v>
      </c>
      <c r="L12" s="0" t="n">
        <f aca="false">ROW()-ROW(tblEmpleados[[#Headers],[ID]])</f>
        <v>10</v>
      </c>
      <c r="M12" s="0" t="s">
        <v>39</v>
      </c>
      <c r="N12" s="0" t="s">
        <v>40</v>
      </c>
      <c r="O12" s="1" t="n">
        <v>1500</v>
      </c>
      <c r="P12" s="1" t="s">
        <v>38</v>
      </c>
      <c r="Q12" s="3" t="n">
        <v>45292</v>
      </c>
      <c r="R12" s="1" t="n">
        <v>0</v>
      </c>
    </row>
    <row r="13" customFormat="false" ht="13.5" hidden="false" customHeight="false" outlineLevel="0" collapsed="false">
      <c r="A13" s="3" t="n">
        <v>45303</v>
      </c>
      <c r="B13" s="0" t="str">
        <f aca="false">TEXT(tblNomina[[#This Row],[DATE]],"mmmm")</f>
        <v>January</v>
      </c>
      <c r="C13" s="0" t="n">
        <f aca="false">WEEKNUM(tblNomina[[#This Row],[DATE]],1)</f>
        <v>2</v>
      </c>
      <c r="D13" s="2" t="s">
        <v>24</v>
      </c>
      <c r="E13" s="1" t="n">
        <f aca="false">(VLOOKUP(tblNomina[[#This Row],[WORKER]],tblEmpleados[[NOMBRE]:[FECHA INGRESO]],3,FALSE())-VLOOKUP(tblNomina[[#This Row],[WORKER]],tblEmpleados[[NOMBRE]:[DEDUCCIONES]],6,FALSE()))/7</f>
        <v>314.285714285714</v>
      </c>
      <c r="F13" s="1" t="n">
        <v>6</v>
      </c>
      <c r="G13" s="1" t="n">
        <v>0</v>
      </c>
      <c r="H13" s="1" t="n">
        <v>0</v>
      </c>
      <c r="I13" s="1" t="n">
        <f aca="false">(tblNomina[[#This Row],[DAYS WORKED]]+(tblNomina[[#This Row],[DAYS WORKED]]/6))*tblNomina[[#This Row],[DAILY WAGE]]-tblNomina[[#This Row],[DEDUCTIONS]]+tblNomina[[#This Row],[ADDITIONS]]</f>
        <v>2200</v>
      </c>
      <c r="J13" s="1" t="n">
        <v>0</v>
      </c>
      <c r="L13" s="0" t="n">
        <f aca="false">ROW()-ROW(tblEmpleados[[#Headers],[ID]])</f>
        <v>11</v>
      </c>
      <c r="O13" s="1"/>
      <c r="P13" s="1"/>
      <c r="Q13" s="3"/>
      <c r="R13" s="1"/>
    </row>
    <row r="14" customFormat="false" ht="13.5" hidden="false" customHeight="false" outlineLevel="0" collapsed="false">
      <c r="A14" s="3" t="n">
        <v>45303</v>
      </c>
      <c r="B14" s="0" t="str">
        <f aca="false">TEXT(tblNomina[[#This Row],[DATE]],"mmmm")</f>
        <v>January</v>
      </c>
      <c r="C14" s="0" t="n">
        <f aca="false">WEEKNUM(tblNomina[[#This Row],[DATE]],1)</f>
        <v>2</v>
      </c>
      <c r="D14" s="2" t="s">
        <v>27</v>
      </c>
      <c r="E14" s="1" t="n">
        <f aca="false">(VLOOKUP(tblNomina[[#This Row],[WORKER]],tblEmpleados[[NOMBRE]:[FECHA INGRESO]],3,FALSE())-VLOOKUP(tblNomina[[#This Row],[WORKER]],tblEmpleados[[NOMBRE]:[DEDUCCIONES]],6,FALSE()))/7</f>
        <v>257.142857142857</v>
      </c>
      <c r="F14" s="1" t="n">
        <v>6</v>
      </c>
      <c r="G14" s="1" t="n">
        <v>0</v>
      </c>
      <c r="H14" s="1" t="n">
        <v>0</v>
      </c>
      <c r="I14" s="1" t="n">
        <f aca="false">(tblNomina[[#This Row],[DAYS WORKED]]+(tblNomina[[#This Row],[DAYS WORKED]]/6))*tblNomina[[#This Row],[DAILY WAGE]]-tblNomina[[#This Row],[DEDUCTIONS]]+tblNomina[[#This Row],[ADDITIONS]]</f>
        <v>1800</v>
      </c>
      <c r="J14" s="1" t="n">
        <v>0</v>
      </c>
    </row>
    <row r="15" customFormat="false" ht="13.5" hidden="false" customHeight="false" outlineLevel="0" collapsed="false">
      <c r="A15" s="3" t="n">
        <v>45303</v>
      </c>
      <c r="B15" s="0" t="str">
        <f aca="false">TEXT(tblNomina[[#This Row],[DATE]],"mmmm")</f>
        <v>January</v>
      </c>
      <c r="C15" s="0" t="n">
        <f aca="false">WEEKNUM(tblNomina[[#This Row],[DATE]],1)</f>
        <v>2</v>
      </c>
      <c r="D15" s="2" t="s">
        <v>29</v>
      </c>
      <c r="E15" s="1" t="n">
        <f aca="false">(VLOOKUP(tblNomina[[#This Row],[WORKER]],tblEmpleados[[NOMBRE]:[FECHA INGRESO]],3,FALSE())-VLOOKUP(tblNomina[[#This Row],[WORKER]],tblEmpleados[[NOMBRE]:[DEDUCCIONES]],6,FALSE()))/7</f>
        <v>242.857142857143</v>
      </c>
      <c r="F15" s="1" t="n">
        <v>6</v>
      </c>
      <c r="G15" s="1" t="n">
        <v>0</v>
      </c>
      <c r="H15" s="1" t="n">
        <v>0</v>
      </c>
      <c r="I15" s="1" t="n">
        <f aca="false">(tblNomina[[#This Row],[DAYS WORKED]]+(tblNomina[[#This Row],[DAYS WORKED]]/6))*tblNomina[[#This Row],[DAILY WAGE]]-tblNomina[[#This Row],[DEDUCTIONS]]+tblNomina[[#This Row],[ADDITIONS]]</f>
        <v>1700</v>
      </c>
      <c r="J15" s="1" t="n">
        <v>0</v>
      </c>
    </row>
    <row r="16" customFormat="false" ht="13.5" hidden="false" customHeight="false" outlineLevel="0" collapsed="false">
      <c r="A16" s="3" t="n">
        <v>45303</v>
      </c>
      <c r="B16" s="0" t="str">
        <f aca="false">TEXT(tblNomina[[#This Row],[DATE]],"mmmm")</f>
        <v>January</v>
      </c>
      <c r="C16" s="0" t="n">
        <f aca="false">WEEKNUM(tblNomina[[#This Row],[DATE]],1)</f>
        <v>2</v>
      </c>
      <c r="D16" s="2" t="s">
        <v>31</v>
      </c>
      <c r="E16" s="1" t="n">
        <f aca="false">(VLOOKUP(tblNomina[[#This Row],[WORKER]],tblEmpleados[[NOMBRE]:[FECHA INGRESO]],3,FALSE())-VLOOKUP(tblNomina[[#This Row],[WORKER]],tblEmpleados[[NOMBRE]:[DEDUCCIONES]],6,FALSE()))/7</f>
        <v>242.857142857143</v>
      </c>
      <c r="F16" s="1" t="n">
        <v>6</v>
      </c>
      <c r="G16" s="1" t="n">
        <v>0</v>
      </c>
      <c r="H16" s="1" t="n">
        <v>0</v>
      </c>
      <c r="I16" s="1" t="n">
        <f aca="false">(tblNomina[[#This Row],[DAYS WORKED]]+(tblNomina[[#This Row],[DAYS WORKED]]/6))*tblNomina[[#This Row],[DAILY WAGE]]-tblNomina[[#This Row],[DEDUCTIONS]]+tblNomina[[#This Row],[ADDITIONS]]</f>
        <v>1700</v>
      </c>
      <c r="J16" s="1" t="n">
        <v>0</v>
      </c>
    </row>
    <row r="17" customFormat="false" ht="13.5" hidden="false" customHeight="false" outlineLevel="0" collapsed="false">
      <c r="A17" s="3" t="n">
        <v>45303</v>
      </c>
      <c r="B17" s="0" t="str">
        <f aca="false">TEXT(tblNomina[[#This Row],[DATE]],"mmmm")</f>
        <v>January</v>
      </c>
      <c r="C17" s="0" t="n">
        <f aca="false">WEEKNUM(tblNomina[[#This Row],[DATE]],1)</f>
        <v>2</v>
      </c>
      <c r="D17" s="2" t="s">
        <v>33</v>
      </c>
      <c r="E17" s="1" t="n">
        <f aca="false">(VLOOKUP(tblNomina[[#This Row],[WORKER]],tblEmpleados[[NOMBRE]:[FECHA INGRESO]],3,FALSE())-VLOOKUP(tblNomina[[#This Row],[WORKER]],tblEmpleados[[NOMBRE]:[DEDUCCIONES]],6,FALSE()))/7</f>
        <v>500</v>
      </c>
      <c r="F17" s="1" t="n">
        <v>6</v>
      </c>
      <c r="G17" s="1" t="n">
        <v>0</v>
      </c>
      <c r="H17" s="1" t="n">
        <v>0</v>
      </c>
      <c r="I17" s="1" t="n">
        <f aca="false">(tblNomina[[#This Row],[DAYS WORKED]]+(tblNomina[[#This Row],[DAYS WORKED]]/6))*tblNomina[[#This Row],[DAILY WAGE]]-tblNomina[[#This Row],[DEDUCTIONS]]+tblNomina[[#This Row],[ADDITIONS]]</f>
        <v>3500</v>
      </c>
      <c r="J17" s="1" t="n">
        <v>0</v>
      </c>
    </row>
    <row r="18" customFormat="false" ht="13.5" hidden="false" customHeight="false" outlineLevel="0" collapsed="false">
      <c r="A18" s="3" t="n">
        <v>45303</v>
      </c>
      <c r="B18" s="0" t="str">
        <f aca="false">TEXT(tblNomina[[#This Row],[DATE]],"mmmm")</f>
        <v>January</v>
      </c>
      <c r="C18" s="0" t="n">
        <f aca="false">WEEKNUM(tblNomina[[#This Row],[DATE]],1)</f>
        <v>2</v>
      </c>
      <c r="D18" s="2" t="s">
        <v>39</v>
      </c>
      <c r="E18" s="1" t="n">
        <f aca="false">(VLOOKUP(tblNomina[[#This Row],[WORKER]],tblEmpleados[[NOMBRE]:[FECHA INGRESO]],3,FALSE())-VLOOKUP(tblNomina[[#This Row],[WORKER]],tblEmpleados[[NOMBRE]:[DEDUCCIONES]],6,FALSE()))/7</f>
        <v>214.285714285714</v>
      </c>
      <c r="F18" s="4" t="n">
        <v>6</v>
      </c>
      <c r="G18" s="1" t="n">
        <v>0</v>
      </c>
      <c r="H18" s="1" t="n">
        <v>0</v>
      </c>
      <c r="I18" s="1" t="n">
        <f aca="false">(tblNomina[[#This Row],[DAYS WORKED]]+(tblNomina[[#This Row],[DAYS WORKED]]/6))*tblNomina[[#This Row],[DAILY WAGE]]-tblNomina[[#This Row],[DEDUCTIONS]]+tblNomina[[#This Row],[ADDITIONS]]</f>
        <v>1500</v>
      </c>
      <c r="J18" s="1" t="n">
        <v>0</v>
      </c>
    </row>
    <row r="19" customFormat="false" ht="13.5" hidden="false" customHeight="false" outlineLevel="0" collapsed="false">
      <c r="A19" s="3" t="n">
        <v>45310</v>
      </c>
      <c r="B19" s="0" t="str">
        <f aca="false">TEXT(tblNomina[[#This Row],[DATE]],"mmmm")</f>
        <v>January</v>
      </c>
      <c r="C19" s="0" t="n">
        <f aca="false">WEEKNUM(tblNomina[[#This Row],[DATE]],1)</f>
        <v>3</v>
      </c>
      <c r="D19" s="2" t="s">
        <v>11</v>
      </c>
      <c r="E19" s="1" t="n">
        <f aca="false">(VLOOKUP(tblNomina[[#This Row],[WORKER]],tblEmpleados[[NOMBRE]:[FECHA INGRESO]],3,FALSE())-VLOOKUP(tblNomina[[#This Row],[WORKER]],tblEmpleados[[NOMBRE]:[DEDUCCIONES]],6,FALSE()))/7</f>
        <v>1071.42857142857</v>
      </c>
      <c r="F19" s="4" t="n">
        <v>6</v>
      </c>
      <c r="G19" s="1" t="n">
        <v>0</v>
      </c>
      <c r="H19" s="1" t="n">
        <v>0</v>
      </c>
      <c r="I19" s="1" t="n">
        <f aca="false">(tblNomina[[#This Row],[DAYS WORKED]]+(tblNomina[[#This Row],[DAYS WORKED]]/6))*tblNomina[[#This Row],[DAILY WAGE]]-tblNomina[[#This Row],[DEDUCTIONS]]+tblNomina[[#This Row],[ADDITIONS]]</f>
        <v>7500</v>
      </c>
      <c r="J19" s="1" t="n">
        <v>0</v>
      </c>
    </row>
    <row r="20" customFormat="false" ht="13.5" hidden="false" customHeight="false" outlineLevel="0" collapsed="false">
      <c r="A20" s="3" t="n">
        <v>45310</v>
      </c>
      <c r="B20" s="0" t="str">
        <f aca="false">TEXT(tblNomina[[#This Row],[DATE]],"mmmm")</f>
        <v>January</v>
      </c>
      <c r="C20" s="0" t="n">
        <f aca="false">WEEKNUM(tblNomina[[#This Row],[DATE]],1)</f>
        <v>3</v>
      </c>
      <c r="D20" s="2" t="s">
        <v>19</v>
      </c>
      <c r="E20" s="1" t="n">
        <f aca="false">(VLOOKUP(tblNomina[[#This Row],[WORKER]],tblEmpleados[[NOMBRE]:[FECHA INGRESO]],3,FALSE())-VLOOKUP(tblNomina[[#This Row],[WORKER]],tblEmpleados[[NOMBRE]:[DEDUCCIONES]],6,FALSE()))/7</f>
        <v>285.714285714286</v>
      </c>
      <c r="F20" s="4" t="n">
        <v>6</v>
      </c>
      <c r="G20" s="1" t="n">
        <v>0</v>
      </c>
      <c r="H20" s="1" t="n">
        <v>0</v>
      </c>
      <c r="I20" s="1" t="n">
        <f aca="false">(tblNomina[[#This Row],[DAYS WORKED]]+(tblNomina[[#This Row],[DAYS WORKED]]/6))*tblNomina[[#This Row],[DAILY WAGE]]-tblNomina[[#This Row],[DEDUCTIONS]]+tblNomina[[#This Row],[ADDITIONS]]</f>
        <v>2000</v>
      </c>
      <c r="J20" s="1" t="n">
        <v>0</v>
      </c>
    </row>
    <row r="21" customFormat="false" ht="13.5" hidden="false" customHeight="false" outlineLevel="0" collapsed="false">
      <c r="A21" s="3" t="n">
        <v>45310</v>
      </c>
      <c r="B21" s="0" t="str">
        <f aca="false">TEXT(tblNomina[[#This Row],[DATE]],"mmmm")</f>
        <v>January</v>
      </c>
      <c r="C21" s="0" t="n">
        <f aca="false">WEEKNUM(tblNomina[[#This Row],[DATE]],1)</f>
        <v>3</v>
      </c>
      <c r="D21" s="2" t="s">
        <v>22</v>
      </c>
      <c r="E21" s="1" t="n">
        <f aca="false">(VLOOKUP(tblNomina[[#This Row],[WORKER]],tblEmpleados[[NOMBRE]:[FECHA INGRESO]],3,FALSE())-VLOOKUP(tblNomina[[#This Row],[WORKER]],tblEmpleados[[NOMBRE]:[DEDUCCIONES]],6,FALSE()))/7</f>
        <v>542.857142857143</v>
      </c>
      <c r="F21" s="4" t="n">
        <v>6</v>
      </c>
      <c r="G21" s="1" t="n">
        <v>0</v>
      </c>
      <c r="H21" s="1" t="n">
        <v>0</v>
      </c>
      <c r="I21" s="1" t="n">
        <f aca="false">(tblNomina[[#This Row],[DAYS WORKED]]+(tblNomina[[#This Row],[DAYS WORKED]]/6))*tblNomina[[#This Row],[DAILY WAGE]]-tblNomina[[#This Row],[DEDUCTIONS]]+tblNomina[[#This Row],[ADDITIONS]]</f>
        <v>3800</v>
      </c>
      <c r="J21" s="1" t="n">
        <v>0</v>
      </c>
    </row>
    <row r="22" customFormat="false" ht="13.5" hidden="false" customHeight="false" outlineLevel="0" collapsed="false">
      <c r="A22" s="3" t="n">
        <v>45310</v>
      </c>
      <c r="B22" s="0" t="str">
        <f aca="false">TEXT(tblNomina[[#This Row],[DATE]],"mmmm")</f>
        <v>January</v>
      </c>
      <c r="C22" s="0" t="n">
        <f aca="false">WEEKNUM(tblNomina[[#This Row],[DATE]],1)</f>
        <v>3</v>
      </c>
      <c r="D22" s="2" t="s">
        <v>24</v>
      </c>
      <c r="E22" s="1" t="n">
        <f aca="false">(VLOOKUP(tblNomina[[#This Row],[WORKER]],tblEmpleados[[NOMBRE]:[FECHA INGRESO]],3,FALSE())-VLOOKUP(tblNomina[[#This Row],[WORKER]],tblEmpleados[[NOMBRE]:[DEDUCCIONES]],6,FALSE()))/7</f>
        <v>314.285714285714</v>
      </c>
      <c r="F22" s="4" t="n">
        <v>6</v>
      </c>
      <c r="G22" s="1" t="n">
        <v>0</v>
      </c>
      <c r="H22" s="1" t="n">
        <v>0</v>
      </c>
      <c r="I22" s="1" t="n">
        <f aca="false">(tblNomina[[#This Row],[DAYS WORKED]]+(tblNomina[[#This Row],[DAYS WORKED]]/6))*tblNomina[[#This Row],[DAILY WAGE]]-tblNomina[[#This Row],[DEDUCTIONS]]+tblNomina[[#This Row],[ADDITIONS]]</f>
        <v>2200</v>
      </c>
      <c r="J22" s="1" t="n">
        <v>0</v>
      </c>
    </row>
    <row r="23" customFormat="false" ht="13.5" hidden="false" customHeight="false" outlineLevel="0" collapsed="false">
      <c r="A23" s="3" t="n">
        <v>45310</v>
      </c>
      <c r="B23" s="0" t="str">
        <f aca="false">TEXT(tblNomina[[#This Row],[DATE]],"mmmm")</f>
        <v>January</v>
      </c>
      <c r="C23" s="0" t="n">
        <f aca="false">WEEKNUM(tblNomina[[#This Row],[DATE]],1)</f>
        <v>3</v>
      </c>
      <c r="D23" s="2" t="s">
        <v>27</v>
      </c>
      <c r="E23" s="1" t="n">
        <f aca="false">(VLOOKUP(tblNomina[[#This Row],[WORKER]],tblEmpleados[[NOMBRE]:[FECHA INGRESO]],3,FALSE())-VLOOKUP(tblNomina[[#This Row],[WORKER]],tblEmpleados[[NOMBRE]:[DEDUCCIONES]],6,FALSE()))/7</f>
        <v>257.142857142857</v>
      </c>
      <c r="F23" s="4" t="n">
        <v>6</v>
      </c>
      <c r="G23" s="1" t="n">
        <v>0</v>
      </c>
      <c r="H23" s="1" t="n">
        <v>0</v>
      </c>
      <c r="I23" s="1" t="n">
        <f aca="false">(tblNomina[[#This Row],[DAYS WORKED]]+(tblNomina[[#This Row],[DAYS WORKED]]/6))*tblNomina[[#This Row],[DAILY WAGE]]-tblNomina[[#This Row],[DEDUCTIONS]]+tblNomina[[#This Row],[ADDITIONS]]</f>
        <v>1800</v>
      </c>
      <c r="J23" s="1" t="n">
        <v>0</v>
      </c>
    </row>
    <row r="24" customFormat="false" ht="13.5" hidden="false" customHeight="false" outlineLevel="0" collapsed="false">
      <c r="A24" s="3" t="n">
        <v>45310</v>
      </c>
      <c r="B24" s="0" t="str">
        <f aca="false">TEXT(tblNomina[[#This Row],[DATE]],"mmmm")</f>
        <v>January</v>
      </c>
      <c r="C24" s="0" t="n">
        <f aca="false">WEEKNUM(tblNomina[[#This Row],[DATE]],1)</f>
        <v>3</v>
      </c>
      <c r="D24" s="2" t="s">
        <v>29</v>
      </c>
      <c r="E24" s="1" t="n">
        <f aca="false">(VLOOKUP(tblNomina[[#This Row],[WORKER]],tblEmpleados[[NOMBRE]:[FECHA INGRESO]],3,FALSE())-VLOOKUP(tblNomina[[#This Row],[WORKER]],tblEmpleados[[NOMBRE]:[DEDUCCIONES]],6,FALSE()))/7</f>
        <v>242.857142857143</v>
      </c>
      <c r="F24" s="4" t="n">
        <v>6</v>
      </c>
      <c r="G24" s="1" t="n">
        <v>0</v>
      </c>
      <c r="H24" s="1" t="n">
        <v>0</v>
      </c>
      <c r="I24" s="1" t="n">
        <f aca="false">(tblNomina[[#This Row],[DAYS WORKED]]+(tblNomina[[#This Row],[DAYS WORKED]]/6))*tblNomina[[#This Row],[DAILY WAGE]]-tblNomina[[#This Row],[DEDUCTIONS]]+tblNomina[[#This Row],[ADDITIONS]]</f>
        <v>1700</v>
      </c>
      <c r="J24" s="1" t="n">
        <v>0</v>
      </c>
    </row>
    <row r="25" customFormat="false" ht="13.5" hidden="false" customHeight="false" outlineLevel="0" collapsed="false">
      <c r="A25" s="3" t="n">
        <v>45310</v>
      </c>
      <c r="B25" s="0" t="str">
        <f aca="false">TEXT(tblNomina[[#This Row],[DATE]],"mmmm")</f>
        <v>January</v>
      </c>
      <c r="C25" s="0" t="n">
        <f aca="false">WEEKNUM(tblNomina[[#This Row],[DATE]],1)</f>
        <v>3</v>
      </c>
      <c r="D25" s="2" t="s">
        <v>31</v>
      </c>
      <c r="E25" s="1" t="n">
        <f aca="false">(VLOOKUP(tblNomina[[#This Row],[WORKER]],tblEmpleados[[NOMBRE]:[FECHA INGRESO]],3,FALSE())-VLOOKUP(tblNomina[[#This Row],[WORKER]],tblEmpleados[[NOMBRE]:[DEDUCCIONES]],6,FALSE()))/7</f>
        <v>242.857142857143</v>
      </c>
      <c r="F25" s="4" t="n">
        <v>6</v>
      </c>
      <c r="G25" s="1" t="n">
        <v>0</v>
      </c>
      <c r="H25" s="1" t="n">
        <v>0</v>
      </c>
      <c r="I25" s="1" t="n">
        <f aca="false">(tblNomina[[#This Row],[DAYS WORKED]]+(tblNomina[[#This Row],[DAYS WORKED]]/6))*tblNomina[[#This Row],[DAILY WAGE]]-tblNomina[[#This Row],[DEDUCTIONS]]+tblNomina[[#This Row],[ADDITIONS]]</f>
        <v>1700</v>
      </c>
      <c r="J25" s="1" t="n">
        <v>0</v>
      </c>
    </row>
    <row r="26" customFormat="false" ht="13.5" hidden="false" customHeight="false" outlineLevel="0" collapsed="false">
      <c r="A26" s="3" t="n">
        <v>45310</v>
      </c>
      <c r="B26" s="0" t="str">
        <f aca="false">TEXT(tblNomina[[#This Row],[DATE]],"mmmm")</f>
        <v>January</v>
      </c>
      <c r="C26" s="0" t="n">
        <f aca="false">WEEKNUM(tblNomina[[#This Row],[DATE]],1)</f>
        <v>3</v>
      </c>
      <c r="D26" s="2" t="s">
        <v>33</v>
      </c>
      <c r="E26" s="1" t="n">
        <f aca="false">(VLOOKUP(tblNomina[[#This Row],[WORKER]],tblEmpleados[[NOMBRE]:[FECHA INGRESO]],3,FALSE())-VLOOKUP(tblNomina[[#This Row],[WORKER]],tblEmpleados[[NOMBRE]:[DEDUCCIONES]],6,FALSE()))/7</f>
        <v>500</v>
      </c>
      <c r="F26" s="4" t="n">
        <v>6</v>
      </c>
      <c r="G26" s="1" t="n">
        <v>0</v>
      </c>
      <c r="H26" s="1" t="n">
        <v>0</v>
      </c>
      <c r="I26" s="1" t="n">
        <f aca="false">(tblNomina[[#This Row],[DAYS WORKED]]+(tblNomina[[#This Row],[DAYS WORKED]]/6))*tblNomina[[#This Row],[DAILY WAGE]]-tblNomina[[#This Row],[DEDUCTIONS]]+tblNomina[[#This Row],[ADDITIONS]]</f>
        <v>3500</v>
      </c>
      <c r="J26" s="1" t="n">
        <v>0</v>
      </c>
    </row>
    <row r="27" customFormat="false" ht="13.5" hidden="false" customHeight="false" outlineLevel="0" collapsed="false">
      <c r="A27" s="3" t="n">
        <v>45310</v>
      </c>
      <c r="B27" s="0" t="str">
        <f aca="false">TEXT(tblNomina[[#This Row],[DATE]],"mmmm")</f>
        <v>January</v>
      </c>
      <c r="C27" s="0" t="n">
        <f aca="false">WEEKNUM(tblNomina[[#This Row],[DATE]],1)</f>
        <v>3</v>
      </c>
      <c r="D27" s="2" t="s">
        <v>39</v>
      </c>
      <c r="E27" s="1" t="n">
        <f aca="false">(VLOOKUP(tblNomina[[#This Row],[WORKER]],tblEmpleados[[NOMBRE]:[FECHA INGRESO]],3,FALSE())-VLOOKUP(tblNomina[[#This Row],[WORKER]],tblEmpleados[[NOMBRE]:[DEDUCCIONES]],6,FALSE()))/7</f>
        <v>214.285714285714</v>
      </c>
      <c r="F27" s="4" t="n">
        <v>6</v>
      </c>
      <c r="G27" s="1" t="n">
        <v>0</v>
      </c>
      <c r="H27" s="1" t="n">
        <v>0</v>
      </c>
      <c r="I27" s="1" t="n">
        <f aca="false">(tblNomina[[#This Row],[DAYS WORKED]]+(tblNomina[[#This Row],[DAYS WORKED]]/6))*tblNomina[[#This Row],[DAILY WAGE]]-tblNomina[[#This Row],[DEDUCTIONS]]+tblNomina[[#This Row],[ADDITIONS]]</f>
        <v>1500</v>
      </c>
      <c r="J27" s="1" t="n">
        <v>0</v>
      </c>
    </row>
    <row r="28" customFormat="false" ht="13.5" hidden="false" customHeight="false" outlineLevel="0" collapsed="false">
      <c r="A28" s="3" t="n">
        <v>45318</v>
      </c>
      <c r="B28" s="0" t="str">
        <f aca="false">TEXT(tblNomina[[#This Row],[DATE]],"mmmm")</f>
        <v>January</v>
      </c>
      <c r="C28" s="0" t="n">
        <f aca="false">WEEKNUM(tblNomina[[#This Row],[DATE]],1)</f>
        <v>4</v>
      </c>
      <c r="D28" s="2" t="s">
        <v>11</v>
      </c>
      <c r="E28" s="1" t="n">
        <f aca="false">(VLOOKUP(tblNomina[[#This Row],[WORKER]],tblEmpleados[[NOMBRE]:[FECHA INGRESO]],3,FALSE())-VLOOKUP(tblNomina[[#This Row],[WORKER]],tblEmpleados[[NOMBRE]:[DEDUCCIONES]],6,FALSE()))/7</f>
        <v>1071.42857142857</v>
      </c>
      <c r="F28" s="4" t="n">
        <v>6</v>
      </c>
      <c r="G28" s="1" t="n">
        <v>0</v>
      </c>
      <c r="H28" s="1" t="n">
        <v>0</v>
      </c>
      <c r="I28" s="1" t="n">
        <f aca="false">(tblNomina[[#This Row],[DAYS WORKED]]+(tblNomina[[#This Row],[DAYS WORKED]]/6))*tblNomina[[#This Row],[DAILY WAGE]]-tblNomina[[#This Row],[DEDUCTIONS]]+tblNomina[[#This Row],[ADDITIONS]]</f>
        <v>7500</v>
      </c>
      <c r="J28" s="1" t="n">
        <v>0</v>
      </c>
    </row>
    <row r="29" customFormat="false" ht="13.5" hidden="false" customHeight="false" outlineLevel="0" collapsed="false">
      <c r="A29" s="3" t="n">
        <v>45318</v>
      </c>
      <c r="B29" s="0" t="str">
        <f aca="false">TEXT(tblNomina[[#This Row],[DATE]],"mmmm")</f>
        <v>January</v>
      </c>
      <c r="C29" s="0" t="n">
        <f aca="false">WEEKNUM(tblNomina[[#This Row],[DATE]],1)</f>
        <v>4</v>
      </c>
      <c r="D29" s="2" t="s">
        <v>19</v>
      </c>
      <c r="E29" s="1" t="n">
        <f aca="false">(VLOOKUP(tblNomina[[#This Row],[WORKER]],tblEmpleados[[NOMBRE]:[FECHA INGRESO]],3,FALSE())-VLOOKUP(tblNomina[[#This Row],[WORKER]],tblEmpleados[[NOMBRE]:[DEDUCCIONES]],6,FALSE()))/7</f>
        <v>285.714285714286</v>
      </c>
      <c r="F29" s="4" t="n">
        <v>6</v>
      </c>
      <c r="G29" s="1" t="n">
        <v>0</v>
      </c>
      <c r="H29" s="1" t="n">
        <v>0</v>
      </c>
      <c r="I29" s="1" t="n">
        <f aca="false">(tblNomina[[#This Row],[DAYS WORKED]]+(tblNomina[[#This Row],[DAYS WORKED]]/6))*tblNomina[[#This Row],[DAILY WAGE]]-tblNomina[[#This Row],[DEDUCTIONS]]+tblNomina[[#This Row],[ADDITIONS]]</f>
        <v>2000</v>
      </c>
      <c r="J29" s="1" t="n">
        <v>0</v>
      </c>
    </row>
    <row r="30" customFormat="false" ht="13.5" hidden="false" customHeight="false" outlineLevel="0" collapsed="false">
      <c r="A30" s="3" t="n">
        <v>45318</v>
      </c>
      <c r="B30" s="0" t="str">
        <f aca="false">TEXT(tblNomina[[#This Row],[DATE]],"mmmm")</f>
        <v>January</v>
      </c>
      <c r="C30" s="0" t="n">
        <f aca="false">WEEKNUM(tblNomina[[#This Row],[DATE]],1)</f>
        <v>4</v>
      </c>
      <c r="D30" s="2" t="s">
        <v>22</v>
      </c>
      <c r="E30" s="1" t="n">
        <f aca="false">(VLOOKUP(tblNomina[[#This Row],[WORKER]],tblEmpleados[[NOMBRE]:[FECHA INGRESO]],3,FALSE())-VLOOKUP(tblNomina[[#This Row],[WORKER]],tblEmpleados[[NOMBRE]:[DEDUCCIONES]],6,FALSE()))/7</f>
        <v>542.857142857143</v>
      </c>
      <c r="F30" s="4" t="n">
        <v>6</v>
      </c>
      <c r="G30" s="1" t="n">
        <v>0</v>
      </c>
      <c r="H30" s="1" t="n">
        <v>0</v>
      </c>
      <c r="I30" s="1" t="n">
        <f aca="false">(tblNomina[[#This Row],[DAYS WORKED]]+(tblNomina[[#This Row],[DAYS WORKED]]/6))*tblNomina[[#This Row],[DAILY WAGE]]-tblNomina[[#This Row],[DEDUCTIONS]]+tblNomina[[#This Row],[ADDITIONS]]</f>
        <v>3800</v>
      </c>
      <c r="J30" s="1" t="n">
        <v>0</v>
      </c>
    </row>
    <row r="31" customFormat="false" ht="13.5" hidden="false" customHeight="false" outlineLevel="0" collapsed="false">
      <c r="A31" s="3" t="n">
        <v>45318</v>
      </c>
      <c r="B31" s="0" t="str">
        <f aca="false">TEXT(tblNomina[[#This Row],[DATE]],"mmmm")</f>
        <v>January</v>
      </c>
      <c r="C31" s="0" t="n">
        <f aca="false">WEEKNUM(tblNomina[[#This Row],[DATE]],1)</f>
        <v>4</v>
      </c>
      <c r="D31" s="2" t="s">
        <v>24</v>
      </c>
      <c r="E31" s="1" t="n">
        <f aca="false">(VLOOKUP(tblNomina[[#This Row],[WORKER]],tblEmpleados[[NOMBRE]:[FECHA INGRESO]],3,FALSE())-VLOOKUP(tblNomina[[#This Row],[WORKER]],tblEmpleados[[NOMBRE]:[DEDUCCIONES]],6,FALSE()))/7</f>
        <v>314.285714285714</v>
      </c>
      <c r="F31" s="4" t="n">
        <v>6</v>
      </c>
      <c r="G31" s="1" t="n">
        <v>0</v>
      </c>
      <c r="H31" s="1" t="n">
        <v>0</v>
      </c>
      <c r="I31" s="1" t="n">
        <f aca="false">(tblNomina[[#This Row],[DAYS WORKED]]+(tblNomina[[#This Row],[DAYS WORKED]]/6))*tblNomina[[#This Row],[DAILY WAGE]]-tblNomina[[#This Row],[DEDUCTIONS]]+tblNomina[[#This Row],[ADDITIONS]]</f>
        <v>2200</v>
      </c>
      <c r="J31" s="1" t="n">
        <v>0</v>
      </c>
    </row>
    <row r="32" customFormat="false" ht="13.5" hidden="false" customHeight="false" outlineLevel="0" collapsed="false">
      <c r="A32" s="3" t="n">
        <v>45318</v>
      </c>
      <c r="B32" s="0" t="str">
        <f aca="false">TEXT(tblNomina[[#This Row],[DATE]],"mmmm")</f>
        <v>January</v>
      </c>
      <c r="C32" s="0" t="n">
        <f aca="false">WEEKNUM(tblNomina[[#This Row],[DATE]],1)</f>
        <v>4</v>
      </c>
      <c r="D32" s="2" t="s">
        <v>27</v>
      </c>
      <c r="E32" s="1" t="n">
        <f aca="false">(VLOOKUP(tblNomina[[#This Row],[WORKER]],tblEmpleados[[NOMBRE]:[FECHA INGRESO]],3,FALSE())-VLOOKUP(tblNomina[[#This Row],[WORKER]],tblEmpleados[[NOMBRE]:[DEDUCCIONES]],6,FALSE()))/7</f>
        <v>257.142857142857</v>
      </c>
      <c r="F32" s="4" t="n">
        <v>6</v>
      </c>
      <c r="G32" s="1" t="n">
        <v>0</v>
      </c>
      <c r="H32" s="1" t="n">
        <v>0</v>
      </c>
      <c r="I32" s="1" t="n">
        <f aca="false">(tblNomina[[#This Row],[DAYS WORKED]]+(tblNomina[[#This Row],[DAYS WORKED]]/6))*tblNomina[[#This Row],[DAILY WAGE]]-tblNomina[[#This Row],[DEDUCTIONS]]+tblNomina[[#This Row],[ADDITIONS]]</f>
        <v>1800</v>
      </c>
      <c r="J32" s="1" t="n">
        <v>0</v>
      </c>
    </row>
    <row r="33" customFormat="false" ht="13.5" hidden="false" customHeight="false" outlineLevel="0" collapsed="false">
      <c r="A33" s="3" t="n">
        <v>45318</v>
      </c>
      <c r="B33" s="0" t="str">
        <f aca="false">TEXT(tblNomina[[#This Row],[DATE]],"mmmm")</f>
        <v>January</v>
      </c>
      <c r="C33" s="0" t="n">
        <f aca="false">WEEKNUM(tblNomina[[#This Row],[DATE]],1)</f>
        <v>4</v>
      </c>
      <c r="D33" s="2" t="s">
        <v>29</v>
      </c>
      <c r="E33" s="1" t="n">
        <f aca="false">(VLOOKUP(tblNomina[[#This Row],[WORKER]],tblEmpleados[[NOMBRE]:[FECHA INGRESO]],3,FALSE())-VLOOKUP(tblNomina[[#This Row],[WORKER]],tblEmpleados[[NOMBRE]:[DEDUCCIONES]],6,FALSE()))/7</f>
        <v>242.857142857143</v>
      </c>
      <c r="F33" s="4" t="n">
        <v>6</v>
      </c>
      <c r="G33" s="1" t="n">
        <v>0</v>
      </c>
      <c r="H33" s="1" t="n">
        <v>0</v>
      </c>
      <c r="I33" s="1" t="n">
        <f aca="false">(tblNomina[[#This Row],[DAYS WORKED]]+(tblNomina[[#This Row],[DAYS WORKED]]/6))*tblNomina[[#This Row],[DAILY WAGE]]-tblNomina[[#This Row],[DEDUCTIONS]]+tblNomina[[#This Row],[ADDITIONS]]</f>
        <v>1700</v>
      </c>
      <c r="J33" s="1" t="n">
        <v>0</v>
      </c>
    </row>
    <row r="34" customFormat="false" ht="13.5" hidden="false" customHeight="false" outlineLevel="0" collapsed="false">
      <c r="A34" s="3" t="n">
        <v>45318</v>
      </c>
      <c r="B34" s="0" t="str">
        <f aca="false">TEXT(tblNomina[[#This Row],[DATE]],"mmmm")</f>
        <v>January</v>
      </c>
      <c r="C34" s="0" t="n">
        <f aca="false">WEEKNUM(tblNomina[[#This Row],[DATE]],1)</f>
        <v>4</v>
      </c>
      <c r="D34" s="2" t="s">
        <v>31</v>
      </c>
      <c r="E34" s="1" t="n">
        <f aca="false">(VLOOKUP(tblNomina[[#This Row],[WORKER]],tblEmpleados[[NOMBRE]:[FECHA INGRESO]],3,FALSE())-VLOOKUP(tblNomina[[#This Row],[WORKER]],tblEmpleados[[NOMBRE]:[DEDUCCIONES]],6,FALSE()))/7</f>
        <v>242.857142857143</v>
      </c>
      <c r="F34" s="4" t="n">
        <v>6</v>
      </c>
      <c r="G34" s="1" t="n">
        <v>0</v>
      </c>
      <c r="H34" s="1" t="n">
        <v>0</v>
      </c>
      <c r="I34" s="1" t="n">
        <f aca="false">(tblNomina[[#This Row],[DAYS WORKED]]+(tblNomina[[#This Row],[DAYS WORKED]]/6))*tblNomina[[#This Row],[DAILY WAGE]]-tblNomina[[#This Row],[DEDUCTIONS]]+tblNomina[[#This Row],[ADDITIONS]]</f>
        <v>1700</v>
      </c>
      <c r="J34" s="1" t="n">
        <v>0</v>
      </c>
    </row>
    <row r="35" customFormat="false" ht="13.5" hidden="false" customHeight="false" outlineLevel="0" collapsed="false">
      <c r="A35" s="3" t="n">
        <v>45318</v>
      </c>
      <c r="B35" s="0" t="str">
        <f aca="false">TEXT(tblNomina[[#This Row],[DATE]],"mmmm")</f>
        <v>January</v>
      </c>
      <c r="C35" s="0" t="n">
        <f aca="false">WEEKNUM(tblNomina[[#This Row],[DATE]],1)</f>
        <v>4</v>
      </c>
      <c r="D35" s="2" t="s">
        <v>33</v>
      </c>
      <c r="E35" s="1" t="n">
        <f aca="false">(VLOOKUP(tblNomina[[#This Row],[WORKER]],tblEmpleados[[NOMBRE]:[FECHA INGRESO]],3,FALSE())-VLOOKUP(tblNomina[[#This Row],[WORKER]],tblEmpleados[[NOMBRE]:[DEDUCCIONES]],6,FALSE()))/7</f>
        <v>500</v>
      </c>
      <c r="F35" s="4" t="n">
        <v>6</v>
      </c>
      <c r="G35" s="1" t="n">
        <v>0</v>
      </c>
      <c r="H35" s="1" t="n">
        <v>1500</v>
      </c>
      <c r="I35" s="1" t="n">
        <f aca="false">(tblNomina[[#This Row],[DAYS WORKED]]+(tblNomina[[#This Row],[DAYS WORKED]]/6))*tblNomina[[#This Row],[DAILY WAGE]]-tblNomina[[#This Row],[DEDUCTIONS]]+tblNomina[[#This Row],[ADDITIONS]]</f>
        <v>5000</v>
      </c>
      <c r="J35" s="1" t="n">
        <v>1500</v>
      </c>
    </row>
    <row r="36" customFormat="false" ht="13.5" hidden="false" customHeight="false" outlineLevel="0" collapsed="false">
      <c r="A36" s="3" t="n">
        <v>45318</v>
      </c>
      <c r="B36" s="0" t="str">
        <f aca="false">TEXT(tblNomina[[#This Row],[DATE]],"mmmm")</f>
        <v>January</v>
      </c>
      <c r="C36" s="0" t="n">
        <f aca="false">WEEKNUM(tblNomina[[#This Row],[DATE]],1)</f>
        <v>4</v>
      </c>
      <c r="D36" s="2" t="s">
        <v>39</v>
      </c>
      <c r="E36" s="1" t="n">
        <f aca="false">(VLOOKUP(tblNomina[[#This Row],[WORKER]],tblEmpleados[[NOMBRE]:[FECHA INGRESO]],3,FALSE())-VLOOKUP(tblNomina[[#This Row],[WORKER]],tblEmpleados[[NOMBRE]:[DEDUCCIONES]],6,FALSE()))/7</f>
        <v>214.285714285714</v>
      </c>
      <c r="F36" s="4" t="n">
        <v>6</v>
      </c>
      <c r="G36" s="1" t="n">
        <v>0</v>
      </c>
      <c r="H36" s="1" t="n">
        <v>0</v>
      </c>
      <c r="I36" s="1" t="n">
        <f aca="false">(tblNomina[[#This Row],[DAYS WORKED]]+(tblNomina[[#This Row],[DAYS WORKED]]/6))*tblNomina[[#This Row],[DAILY WAGE]]-tblNomina[[#This Row],[DEDUCTIONS]]+tblNomina[[#This Row],[ADDITIONS]]</f>
        <v>1500</v>
      </c>
      <c r="J36" s="1" t="n">
        <v>0</v>
      </c>
    </row>
    <row r="37" customFormat="false" ht="13.5" hidden="false" customHeight="false" outlineLevel="0" collapsed="false">
      <c r="A37" s="3" t="n">
        <v>45318</v>
      </c>
      <c r="B37" s="0" t="str">
        <f aca="false">TEXT(tblNomina[[#This Row],[DATE]],"mmmm")</f>
        <v>January</v>
      </c>
      <c r="C37" s="0" t="n">
        <f aca="false">WEEKNUM(tblNomina[[#This Row],[DATE]],1)</f>
        <v>4</v>
      </c>
      <c r="D37" s="2" t="s">
        <v>35</v>
      </c>
      <c r="E37" s="1" t="n">
        <f aca="false">(VLOOKUP(tblNomina[[#This Row],[WORKER]],tblEmpleados[[NOMBRE]:[FECHA INGRESO]],3,FALSE())-VLOOKUP(tblNomina[[#This Row],[WORKER]],tblEmpleados[[NOMBRE]:[DEDUCCIONES]],6,FALSE()))/7</f>
        <v>357.142857142857</v>
      </c>
      <c r="F37" s="4" t="n">
        <v>12</v>
      </c>
      <c r="G37" s="1" t="n">
        <v>0</v>
      </c>
      <c r="H37" s="1" t="n">
        <v>0</v>
      </c>
      <c r="I37" s="1" t="n">
        <f aca="false">(tblNomina[[#This Row],[DAYS WORKED]]+(tblNomina[[#This Row],[DAYS WORKED]]/6))*tblNomina[[#This Row],[DAILY WAGE]]-tblNomina[[#This Row],[DEDUCTIONS]]+tblNomina[[#This Row],[ADDITIONS]]</f>
        <v>5000</v>
      </c>
      <c r="J37" s="1" t="n">
        <v>0</v>
      </c>
    </row>
    <row r="38" customFormat="false" ht="13.5" hidden="false" customHeight="false" outlineLevel="0" collapsed="false">
      <c r="A38" s="3" t="n">
        <v>45324</v>
      </c>
      <c r="B38" s="0" t="str">
        <f aca="false">TEXT(tblNomina[[#This Row],[DATE]],"mmmm")</f>
        <v>February</v>
      </c>
      <c r="C38" s="0" t="n">
        <f aca="false">WEEKNUM(tblNomina[[#This Row],[DATE]],1)</f>
        <v>5</v>
      </c>
      <c r="D38" s="2" t="s">
        <v>11</v>
      </c>
      <c r="E38" s="1" t="n">
        <f aca="false">(VLOOKUP(tblNomina[[#This Row],[WORKER]],tblEmpleados[[NOMBRE]:[FECHA INGRESO]],3,FALSE())-VLOOKUP(tblNomina[[#This Row],[WORKER]],tblEmpleados[[NOMBRE]:[DEDUCCIONES]],6,FALSE()))/7</f>
        <v>1071.42857142857</v>
      </c>
      <c r="F38" s="4" t="n">
        <v>6</v>
      </c>
      <c r="G38" s="1" t="n">
        <v>0</v>
      </c>
      <c r="H38" s="1" t="n">
        <v>0</v>
      </c>
      <c r="I38" s="1" t="n">
        <f aca="false">(tblNomina[[#This Row],[DAYS WORKED]]+(tblNomina[[#This Row],[DAYS WORKED]]/6))*tblNomina[[#This Row],[DAILY WAGE]]-tblNomina[[#This Row],[DEDUCTIONS]]+tblNomina[[#This Row],[ADDITIONS]]</f>
        <v>7500</v>
      </c>
      <c r="J38" s="1" t="n">
        <v>0</v>
      </c>
    </row>
    <row r="39" customFormat="false" ht="13.5" hidden="false" customHeight="false" outlineLevel="0" collapsed="false">
      <c r="A39" s="3" t="n">
        <v>45324</v>
      </c>
      <c r="B39" s="0" t="str">
        <f aca="false">TEXT(tblNomina[[#This Row],[DATE]],"mmmm")</f>
        <v>February</v>
      </c>
      <c r="C39" s="0" t="n">
        <f aca="false">WEEKNUM(tblNomina[[#This Row],[DATE]],1)</f>
        <v>5</v>
      </c>
      <c r="D39" s="2" t="s">
        <v>19</v>
      </c>
      <c r="E39" s="1" t="n">
        <f aca="false">(VLOOKUP(tblNomina[[#This Row],[WORKER]],tblEmpleados[[NOMBRE]:[FECHA INGRESO]],3,FALSE())-VLOOKUP(tblNomina[[#This Row],[WORKER]],tblEmpleados[[NOMBRE]:[DEDUCCIONES]],6,FALSE()))/7</f>
        <v>285.714285714286</v>
      </c>
      <c r="F39" s="4" t="n">
        <v>6</v>
      </c>
      <c r="G39" s="1" t="n">
        <v>0</v>
      </c>
      <c r="H39" s="1" t="n">
        <v>0</v>
      </c>
      <c r="I39" s="1" t="n">
        <f aca="false">(tblNomina[[#This Row],[DAYS WORKED]]+(tblNomina[[#This Row],[DAYS WORKED]]/6))*tblNomina[[#This Row],[DAILY WAGE]]-tblNomina[[#This Row],[DEDUCTIONS]]+tblNomina[[#This Row],[ADDITIONS]]</f>
        <v>2000</v>
      </c>
      <c r="J39" s="1" t="n">
        <v>0</v>
      </c>
    </row>
    <row r="40" customFormat="false" ht="13.5" hidden="false" customHeight="false" outlineLevel="0" collapsed="false">
      <c r="A40" s="3" t="n">
        <v>45324</v>
      </c>
      <c r="B40" s="0" t="str">
        <f aca="false">TEXT(tblNomina[[#This Row],[DATE]],"mmmm")</f>
        <v>February</v>
      </c>
      <c r="C40" s="0" t="n">
        <f aca="false">WEEKNUM(tblNomina[[#This Row],[DATE]],1)</f>
        <v>5</v>
      </c>
      <c r="D40" s="2" t="s">
        <v>22</v>
      </c>
      <c r="E40" s="1" t="n">
        <f aca="false">(VLOOKUP(tblNomina[[#This Row],[WORKER]],tblEmpleados[[NOMBRE]:[FECHA INGRESO]],3,FALSE())-VLOOKUP(tblNomina[[#This Row],[WORKER]],tblEmpleados[[NOMBRE]:[DEDUCCIONES]],6,FALSE()))/7</f>
        <v>542.857142857143</v>
      </c>
      <c r="F40" s="4" t="n">
        <v>6</v>
      </c>
      <c r="G40" s="1" t="n">
        <v>0</v>
      </c>
      <c r="H40" s="1" t="n">
        <v>0</v>
      </c>
      <c r="I40" s="1" t="n">
        <f aca="false">(tblNomina[[#This Row],[DAYS WORKED]]+(tblNomina[[#This Row],[DAYS WORKED]]/6))*tblNomina[[#This Row],[DAILY WAGE]]-tblNomina[[#This Row],[DEDUCTIONS]]+tblNomina[[#This Row],[ADDITIONS]]</f>
        <v>3800</v>
      </c>
      <c r="J40" s="1" t="n">
        <v>0</v>
      </c>
    </row>
    <row r="41" customFormat="false" ht="13.5" hidden="false" customHeight="false" outlineLevel="0" collapsed="false">
      <c r="A41" s="3" t="n">
        <v>45324</v>
      </c>
      <c r="B41" s="0" t="str">
        <f aca="false">TEXT(tblNomina[[#This Row],[DATE]],"mmmm")</f>
        <v>February</v>
      </c>
      <c r="C41" s="0" t="n">
        <f aca="false">WEEKNUM(tblNomina[[#This Row],[DATE]],1)</f>
        <v>5</v>
      </c>
      <c r="D41" s="2" t="s">
        <v>24</v>
      </c>
      <c r="E41" s="1" t="n">
        <f aca="false">(VLOOKUP(tblNomina[[#This Row],[WORKER]],tblEmpleados[[NOMBRE]:[FECHA INGRESO]],3,FALSE())-VLOOKUP(tblNomina[[#This Row],[WORKER]],tblEmpleados[[NOMBRE]:[DEDUCCIONES]],6,FALSE()))/7</f>
        <v>314.285714285714</v>
      </c>
      <c r="F41" s="4" t="n">
        <v>6</v>
      </c>
      <c r="G41" s="1" t="n">
        <v>0</v>
      </c>
      <c r="H41" s="1" t="n">
        <v>0</v>
      </c>
      <c r="I41" s="1" t="n">
        <f aca="false">(tblNomina[[#This Row],[DAYS WORKED]]+(tblNomina[[#This Row],[DAYS WORKED]]/6))*tblNomina[[#This Row],[DAILY WAGE]]-tblNomina[[#This Row],[DEDUCTIONS]]+tblNomina[[#This Row],[ADDITIONS]]</f>
        <v>2200</v>
      </c>
      <c r="J41" s="1" t="n">
        <v>0</v>
      </c>
    </row>
    <row r="42" customFormat="false" ht="13.5" hidden="false" customHeight="false" outlineLevel="0" collapsed="false">
      <c r="A42" s="3" t="n">
        <v>45324</v>
      </c>
      <c r="B42" s="0" t="str">
        <f aca="false">TEXT(tblNomina[[#This Row],[DATE]],"mmmm")</f>
        <v>February</v>
      </c>
      <c r="C42" s="0" t="n">
        <f aca="false">WEEKNUM(tblNomina[[#This Row],[DATE]],1)</f>
        <v>5</v>
      </c>
      <c r="D42" s="2" t="s">
        <v>27</v>
      </c>
      <c r="E42" s="1" t="n">
        <f aca="false">(VLOOKUP(tblNomina[[#This Row],[WORKER]],tblEmpleados[[NOMBRE]:[FECHA INGRESO]],3,FALSE())-VLOOKUP(tblNomina[[#This Row],[WORKER]],tblEmpleados[[NOMBRE]:[DEDUCCIONES]],6,FALSE()))/7</f>
        <v>257.142857142857</v>
      </c>
      <c r="F42" s="4" t="n">
        <v>6</v>
      </c>
      <c r="G42" s="1" t="n">
        <v>0</v>
      </c>
      <c r="H42" s="1" t="n">
        <v>0</v>
      </c>
      <c r="I42" s="1" t="n">
        <f aca="false">(tblNomina[[#This Row],[DAYS WORKED]]+(tblNomina[[#This Row],[DAYS WORKED]]/6))*tblNomina[[#This Row],[DAILY WAGE]]-tblNomina[[#This Row],[DEDUCTIONS]]+tblNomina[[#This Row],[ADDITIONS]]</f>
        <v>1800</v>
      </c>
      <c r="J42" s="1" t="n">
        <v>0</v>
      </c>
    </row>
    <row r="43" customFormat="false" ht="13.5" hidden="false" customHeight="false" outlineLevel="0" collapsed="false">
      <c r="A43" s="3" t="n">
        <v>45324</v>
      </c>
      <c r="B43" s="0" t="str">
        <f aca="false">TEXT(tblNomina[[#This Row],[DATE]],"mmmm")</f>
        <v>February</v>
      </c>
      <c r="C43" s="0" t="n">
        <f aca="false">WEEKNUM(tblNomina[[#This Row],[DATE]],1)</f>
        <v>5</v>
      </c>
      <c r="D43" s="2" t="s">
        <v>29</v>
      </c>
      <c r="E43" s="1" t="n">
        <f aca="false">(VLOOKUP(tblNomina[[#This Row],[WORKER]],tblEmpleados[[NOMBRE]:[FECHA INGRESO]],3,FALSE())-VLOOKUP(tblNomina[[#This Row],[WORKER]],tblEmpleados[[NOMBRE]:[DEDUCCIONES]],6,FALSE()))/7</f>
        <v>242.857142857143</v>
      </c>
      <c r="F43" s="4" t="n">
        <v>6</v>
      </c>
      <c r="G43" s="1" t="n">
        <v>0</v>
      </c>
      <c r="H43" s="1" t="n">
        <v>0</v>
      </c>
      <c r="I43" s="1" t="n">
        <f aca="false">(tblNomina[[#This Row],[DAYS WORKED]]+(tblNomina[[#This Row],[DAYS WORKED]]/6))*tblNomina[[#This Row],[DAILY WAGE]]-tblNomina[[#This Row],[DEDUCTIONS]]+tblNomina[[#This Row],[ADDITIONS]]</f>
        <v>1700</v>
      </c>
      <c r="J43" s="1" t="n">
        <v>0</v>
      </c>
    </row>
    <row r="44" customFormat="false" ht="13.5" hidden="false" customHeight="false" outlineLevel="0" collapsed="false">
      <c r="A44" s="3" t="n">
        <v>45324</v>
      </c>
      <c r="B44" s="0" t="str">
        <f aca="false">TEXT(tblNomina[[#This Row],[DATE]],"mmmm")</f>
        <v>February</v>
      </c>
      <c r="C44" s="0" t="n">
        <f aca="false">WEEKNUM(tblNomina[[#This Row],[DATE]],1)</f>
        <v>5</v>
      </c>
      <c r="D44" s="2" t="s">
        <v>31</v>
      </c>
      <c r="E44" s="1" t="n">
        <f aca="false">(VLOOKUP(tblNomina[[#This Row],[WORKER]],tblEmpleados[[NOMBRE]:[FECHA INGRESO]],3,FALSE())-VLOOKUP(tblNomina[[#This Row],[WORKER]],tblEmpleados[[NOMBRE]:[DEDUCCIONES]],6,FALSE()))/7</f>
        <v>242.857142857143</v>
      </c>
      <c r="F44" s="4" t="n">
        <v>6</v>
      </c>
      <c r="G44" s="1" t="n">
        <v>0</v>
      </c>
      <c r="H44" s="1" t="n">
        <v>0</v>
      </c>
      <c r="I44" s="1" t="n">
        <f aca="false">(tblNomina[[#This Row],[DAYS WORKED]]+(tblNomina[[#This Row],[DAYS WORKED]]/6))*tblNomina[[#This Row],[DAILY WAGE]]-tblNomina[[#This Row],[DEDUCTIONS]]+tblNomina[[#This Row],[ADDITIONS]]</f>
        <v>1700</v>
      </c>
      <c r="J44" s="1" t="n">
        <v>0</v>
      </c>
    </row>
    <row r="45" customFormat="false" ht="13.5" hidden="false" customHeight="false" outlineLevel="0" collapsed="false">
      <c r="A45" s="3" t="n">
        <v>45324</v>
      </c>
      <c r="B45" s="0" t="str">
        <f aca="false">TEXT(tblNomina[[#This Row],[DATE]],"mmmm")</f>
        <v>February</v>
      </c>
      <c r="C45" s="0" t="n">
        <f aca="false">WEEKNUM(tblNomina[[#This Row],[DATE]],1)</f>
        <v>5</v>
      </c>
      <c r="D45" s="2" t="s">
        <v>33</v>
      </c>
      <c r="E45" s="1" t="n">
        <f aca="false">(VLOOKUP(tblNomina[[#This Row],[WORKER]],tblEmpleados[[NOMBRE]:[FECHA INGRESO]],3,FALSE())-VLOOKUP(tblNomina[[#This Row],[WORKER]],tblEmpleados[[NOMBRE]:[DEDUCCIONES]],6,FALSE()))/7</f>
        <v>500</v>
      </c>
      <c r="F45" s="4" t="n">
        <v>6</v>
      </c>
      <c r="G45" s="1" t="n">
        <v>500</v>
      </c>
      <c r="H45" s="1" t="n">
        <v>0</v>
      </c>
      <c r="I45" s="1" t="n">
        <f aca="false">(tblNomina[[#This Row],[DAYS WORKED]]+(tblNomina[[#This Row],[DAYS WORKED]]/6))*tblNomina[[#This Row],[DAILY WAGE]]-tblNomina[[#This Row],[DEDUCTIONS]]+tblNomina[[#This Row],[ADDITIONS]]</f>
        <v>3000</v>
      </c>
      <c r="J45" s="1" t="n">
        <v>1000</v>
      </c>
    </row>
    <row r="46" customFormat="false" ht="13.5" hidden="false" customHeight="false" outlineLevel="0" collapsed="false">
      <c r="A46" s="3" t="n">
        <v>45324</v>
      </c>
      <c r="B46" s="0" t="str">
        <f aca="false">TEXT(tblNomina[[#This Row],[DATE]],"mmmm")</f>
        <v>February</v>
      </c>
      <c r="C46" s="0" t="n">
        <f aca="false">WEEKNUM(tblNomina[[#This Row],[DATE]],1)</f>
        <v>5</v>
      </c>
      <c r="D46" s="2" t="s">
        <v>39</v>
      </c>
      <c r="E46" s="1" t="n">
        <f aca="false">(VLOOKUP(tblNomina[[#This Row],[WORKER]],tblEmpleados[[NOMBRE]:[FECHA INGRESO]],3,FALSE())-VLOOKUP(tblNomina[[#This Row],[WORKER]],tblEmpleados[[NOMBRE]:[DEDUCCIONES]],6,FALSE()))/7</f>
        <v>214.285714285714</v>
      </c>
      <c r="F46" s="4" t="n">
        <v>6</v>
      </c>
      <c r="G46" s="1" t="n">
        <v>0</v>
      </c>
      <c r="H46" s="1" t="n">
        <v>0</v>
      </c>
      <c r="I46" s="1" t="n">
        <f aca="false">(tblNomina[[#This Row],[DAYS WORKED]]+(tblNomina[[#This Row],[DAYS WORKED]]/6))*tblNomina[[#This Row],[DAILY WAGE]]-tblNomina[[#This Row],[DEDUCTIONS]]+tblNomina[[#This Row],[ADDITIONS]]</f>
        <v>1500</v>
      </c>
      <c r="J46" s="1" t="n">
        <v>0</v>
      </c>
    </row>
    <row r="47" customFormat="false" ht="13.5" hidden="false" customHeight="false" outlineLevel="0" collapsed="false">
      <c r="A47" s="3" t="n">
        <v>45324</v>
      </c>
      <c r="B47" s="0" t="str">
        <f aca="false">TEXT(tblNomina[[#This Row],[DATE]],"mmmm")</f>
        <v>February</v>
      </c>
      <c r="C47" s="0" t="n">
        <f aca="false">WEEKNUM(tblNomina[[#This Row],[DATE]],1)</f>
        <v>5</v>
      </c>
      <c r="D47" s="2" t="s">
        <v>35</v>
      </c>
      <c r="E47" s="1" t="n">
        <f aca="false">(VLOOKUP(tblNomina[[#This Row],[WORKER]],tblEmpleados[[NOMBRE]:[FECHA INGRESO]],3,FALSE())-VLOOKUP(tblNomina[[#This Row],[WORKER]],tblEmpleados[[NOMBRE]:[DEDUCCIONES]],6,FALSE()))/7</f>
        <v>357.142857142857</v>
      </c>
      <c r="F47" s="4" t="n">
        <v>6</v>
      </c>
      <c r="G47" s="1" t="n">
        <v>0</v>
      </c>
      <c r="H47" s="1" t="n">
        <v>0</v>
      </c>
      <c r="I47" s="1" t="n">
        <f aca="false">(tblNomina[[#This Row],[DAYS WORKED]]+(tblNomina[[#This Row],[DAYS WORKED]]/6))*tblNomina[[#This Row],[DAILY WAGE]]-tblNomina[[#This Row],[DEDUCTIONS]]+tblNomina[[#This Row],[ADDITIONS]]</f>
        <v>2500</v>
      </c>
      <c r="J47" s="1" t="n">
        <v>0</v>
      </c>
    </row>
    <row r="48" customFormat="false" ht="13.5" hidden="false" customHeight="false" outlineLevel="0" collapsed="false">
      <c r="A48" s="0" t="s">
        <v>41</v>
      </c>
      <c r="B48" s="5" t="s">
        <v>42</v>
      </c>
      <c r="D48" s="2"/>
      <c r="I48" s="6" t="n">
        <f aca="false">SUBTOTAL(109,tblNomina[TOTAL])</f>
        <v>135500</v>
      </c>
      <c r="J48" s="6"/>
    </row>
  </sheetData>
  <dataValidations count="1">
    <dataValidation allowBlank="true" errorStyle="stop" operator="between" showDropDown="false" showErrorMessage="true" showInputMessage="true" sqref="D2:D48" type="list">
      <formula1>listaEmpleados</formula1>
      <formula2>0</formula2>
    </dataValidation>
  </dataValidations>
  <hyperlinks>
    <hyperlink ref="B48" location="NOMINA!A1" display="REGRESA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2024-02-03T01:37:00Z</dcterms:created>
  <dc:creator>Alexandro Brown</dc:creator>
  <dc:description/>
  <dc:language>en-US</dc:language>
  <cp:lastModifiedBy>917956131</cp:lastModifiedBy>
  <dcterms:modified xsi:type="dcterms:W3CDTF">2026-04-16T20:25:56Z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2FA3A37E71094B748FD5DB0037EBD8B8_12</vt:lpwstr>
  </property>
  <property fmtid="{D5CDD505-2E9C-101B-9397-08002B2CF9AE}" pid="3" name="KSOProductBuildVer">
    <vt:lpwstr>2052-12.1.0.16729</vt:lpwstr>
  </property>
</Properties>
</file>